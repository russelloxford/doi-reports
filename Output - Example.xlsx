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_PROJECTS\DOI-Reports\"/>
    </mc:Choice>
  </mc:AlternateContent>
  <xr:revisionPtr revIDLastSave="0" documentId="8_{61EBF653-407E-45EB-BC85-14D3A17DB945}" xr6:coauthVersionLast="47" xr6:coauthVersionMax="47" xr10:uidLastSave="{00000000-0000-0000-0000-000000000000}"/>
  <bookViews>
    <workbookView xWindow="42300" yWindow="1335" windowWidth="30540" windowHeight="19545" xr2:uid="{A80FFB13-FD49-41BD-BA9F-5BB725945A74}"/>
  </bookViews>
  <sheets>
    <sheet name="Tract Li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1" l="1"/>
  <c r="D31" i="1"/>
  <c r="D32" i="1"/>
  <c r="C38" i="1"/>
  <c r="D18" i="1"/>
  <c r="D19" i="1"/>
  <c r="D20" i="1"/>
  <c r="D21" i="1"/>
  <c r="D17" i="1"/>
  <c r="D14" i="1"/>
  <c r="D15" i="1"/>
  <c r="D13" i="1"/>
  <c r="G9" i="1"/>
  <c r="D37" i="1" s="1"/>
  <c r="G8" i="1"/>
  <c r="D34" i="1" s="1"/>
  <c r="G7" i="1"/>
  <c r="D29" i="1" s="1"/>
  <c r="G6" i="1"/>
  <c r="D28" i="1" s="1"/>
  <c r="G5" i="1"/>
  <c r="G10" i="1" s="1"/>
  <c r="G4" i="1"/>
  <c r="G3" i="1"/>
  <c r="D16" i="1" s="1"/>
  <c r="D22" i="1" l="1"/>
  <c r="D38" i="1" s="1"/>
  <c r="D24" i="1"/>
  <c r="D35" i="1"/>
  <c r="D27" i="1"/>
  <c r="D36" i="1"/>
  <c r="D25" i="1"/>
  <c r="D30" i="1"/>
  <c r="D23" i="1"/>
  <c r="D33" i="1"/>
  <c r="D26" i="1"/>
</calcChain>
</file>

<file path=xl/sharedStrings.xml><?xml version="1.0" encoding="utf-8"?>
<sst xmlns="http://schemas.openxmlformats.org/spreadsheetml/2006/main" count="99" uniqueCount="69">
  <si>
    <t>LANDS</t>
  </si>
  <si>
    <t>State</t>
  </si>
  <si>
    <t>County</t>
  </si>
  <si>
    <t>Section</t>
  </si>
  <si>
    <t>Township</t>
  </si>
  <si>
    <t>Range</t>
  </si>
  <si>
    <t>Acres</t>
  </si>
  <si>
    <t>North Dakota</t>
  </si>
  <si>
    <t>Williams</t>
  </si>
  <si>
    <t>13</t>
  </si>
  <si>
    <t>157N</t>
  </si>
  <si>
    <t>97W</t>
  </si>
  <si>
    <t>14</t>
  </si>
  <si>
    <t>Willaims</t>
  </si>
  <si>
    <t>23</t>
  </si>
  <si>
    <t>24</t>
  </si>
  <si>
    <t>25</t>
  </si>
  <si>
    <t>26</t>
  </si>
  <si>
    <t>35</t>
  </si>
  <si>
    <t>36</t>
  </si>
  <si>
    <t>TOTAL UNIT ACRES</t>
  </si>
  <si>
    <t>Tract</t>
  </si>
  <si>
    <t>Legal Description</t>
  </si>
  <si>
    <t>5</t>
  </si>
  <si>
    <t>Section 14: NE/4</t>
  </si>
  <si>
    <t>6</t>
  </si>
  <si>
    <t>Section 14: NW/4</t>
  </si>
  <si>
    <t>7</t>
  </si>
  <si>
    <t>Section 14: SW/4</t>
  </si>
  <si>
    <t>8</t>
  </si>
  <si>
    <t>Section 14: SE/4</t>
  </si>
  <si>
    <t>9</t>
  </si>
  <si>
    <t>Section 23: N/2 NE/4, SW/4 NE/4</t>
  </si>
  <si>
    <t>10</t>
  </si>
  <si>
    <t>Section 23: SE/4 NE/4</t>
  </si>
  <si>
    <t>11</t>
  </si>
  <si>
    <t>Section 23: NW/4</t>
  </si>
  <si>
    <t>12</t>
  </si>
  <si>
    <t>Section 23: SW/4</t>
  </si>
  <si>
    <t>Section 23: SE/4</t>
  </si>
  <si>
    <t>Section 24: NE/4, E/2NW/4</t>
  </si>
  <si>
    <t>15</t>
  </si>
  <si>
    <t>Section 24: NW/4NW/4</t>
  </si>
  <si>
    <t>16</t>
  </si>
  <si>
    <t>Section 24: SW/4NW/4, N/2SW/4</t>
  </si>
  <si>
    <t>17</t>
  </si>
  <si>
    <t>Section 24: SE/4, S/2SW/4</t>
  </si>
  <si>
    <t>18</t>
  </si>
  <si>
    <t>Section 25: N/2</t>
  </si>
  <si>
    <t>19</t>
  </si>
  <si>
    <t>Section 25: SW/4</t>
  </si>
  <si>
    <t>20</t>
  </si>
  <si>
    <t>Section 25: SE/4</t>
  </si>
  <si>
    <t>21</t>
  </si>
  <si>
    <t>Section 26: NE/4</t>
  </si>
  <si>
    <t>22</t>
  </si>
  <si>
    <t>Section 26: NW/4</t>
  </si>
  <si>
    <t>Section 26: SW/4</t>
  </si>
  <si>
    <t>Section 26: SE/4</t>
  </si>
  <si>
    <t>Section 35: E/2</t>
  </si>
  <si>
    <t>Section 35: NW/4</t>
  </si>
  <si>
    <t>27</t>
  </si>
  <si>
    <t>Section 35: SW/4</t>
  </si>
  <si>
    <t>28</t>
  </si>
  <si>
    <t>Section 36: S/2, NE/4</t>
  </si>
  <si>
    <t>29</t>
  </si>
  <si>
    <t>Section 36: NW/4</t>
  </si>
  <si>
    <t>Allocation Factor</t>
  </si>
  <si>
    <t>Tract Allocation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</si>
</sst>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00"/>
    <numFmt numFmtId="166" formatCode="0.00000000"/>
  </numFmts>
  <fonts count="3" x14ac:knownFonts="1">
    <font>
      <sz val="11"/>
      <color theme="1"/>
      <name val="Calibri"/>
      <family val="2"/>
      <scheme val="minor"/>
    </font>
    <font>
      <b/>
      <sz val="10"/>
      <name val="Times New Roman"/>
      <family val="1"/>
    </font>
    <font>
      <sz val="1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49" fontId="2" fillId="0" borderId="1" xfId="0" applyNumberFormat="1" applyFont="1" applyBorder="1" applyAlignment="1">
      <alignment horizontal="left" wrapText="1"/>
    </xf>
    <xf numFmtId="49" fontId="2" fillId="0" borderId="1" xfId="0" applyNumberFormat="1" applyFont="1" applyBorder="1" applyAlignment="1">
      <alignment horizontal="center" wrapText="1"/>
    </xf>
    <xf numFmtId="49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right"/>
    </xf>
    <xf numFmtId="0" fontId="1" fillId="4" borderId="4" xfId="0" applyFont="1" applyFill="1" applyBorder="1" applyAlignment="1">
      <alignment horizontal="left"/>
    </xf>
    <xf numFmtId="0" fontId="2" fillId="4" borderId="2" xfId="0" applyFont="1" applyFill="1" applyBorder="1"/>
    <xf numFmtId="165" fontId="1" fillId="4" borderId="3" xfId="0" applyNumberFormat="1" applyFont="1" applyFill="1" applyBorder="1"/>
    <xf numFmtId="0" fontId="2" fillId="0" borderId="1" xfId="0" applyFont="1" applyBorder="1" applyAlignment="1">
      <alignment horizontal="center"/>
    </xf>
    <xf numFmtId="166" fontId="2" fillId="5" borderId="1" xfId="0" applyNumberFormat="1" applyFont="1" applyFill="1" applyBorder="1" applyAlignment="1">
      <alignment horizontal="right"/>
    </xf>
    <xf numFmtId="49" fontId="2" fillId="0" borderId="3" xfId="0" applyNumberFormat="1" applyFont="1" applyBorder="1" applyAlignment="1">
      <alignment horizontal="left" wrapText="1"/>
    </xf>
    <xf numFmtId="0" fontId="1" fillId="4" borderId="3" xfId="0" applyFont="1" applyFill="1" applyBorder="1" applyAlignment="1">
      <alignment horizontal="right"/>
    </xf>
    <xf numFmtId="165" fontId="1" fillId="4" borderId="3" xfId="0" applyNumberFormat="1" applyFont="1" applyFill="1" applyBorder="1" applyAlignment="1">
      <alignment horizontal="right"/>
    </xf>
    <xf numFmtId="166" fontId="1" fillId="4" borderId="1" xfId="0" applyNumberFormat="1" applyFont="1" applyFill="1" applyBorder="1" applyAlignment="1">
      <alignment horizontal="right"/>
    </xf>
    <xf numFmtId="166" fontId="2" fillId="0" borderId="0" xfId="0" applyNumberFormat="1" applyFont="1"/>
    <xf numFmtId="166" fontId="2" fillId="0" borderId="1" xfId="0" applyNumberFormat="1" applyFont="1" applyBorder="1" applyAlignment="1">
      <alignment horizontal="right"/>
    </xf>
    <xf numFmtId="166" fontId="1" fillId="4" borderId="3" xfId="0" applyNumberFormat="1" applyFont="1" applyFill="1" applyBorder="1"/>
    <xf numFmtId="166" fontId="0" fillId="0" borderId="0" xfId="0" applyNumberFormat="1"/>
    <xf numFmtId="166" fontId="1" fillId="3" borderId="1" xfId="0" applyNumberFormat="1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left"/>
    </xf>
    <xf numFmtId="0" fontId="1" fillId="2" borderId="6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2F05D-CF1E-49EB-8739-EAAA2BB913DB}">
  <sheetPr>
    <pageSetUpPr fitToPage="1"/>
  </sheetPr>
  <dimension ref="A1:J38"/>
  <sheetViews>
    <sheetView tabSelected="1" workbookViewId="0">
      <selection activeCell="D38" sqref="D38"/>
    </sheetView>
  </sheetViews>
  <sheetFormatPr defaultRowHeight="15" x14ac:dyDescent="0.25"/>
  <cols>
    <col min="1" max="1" width="16.85546875" customWidth="1"/>
    <col min="2" max="2" width="47.140625" customWidth="1"/>
    <col min="3" max="6" width="12.140625" customWidth="1"/>
    <col min="7" max="7" width="12.140625" style="21" customWidth="1"/>
    <col min="8" max="8" width="4.140625" customWidth="1"/>
    <col min="9" max="9" width="13.140625" customWidth="1"/>
  </cols>
  <sheetData>
    <row r="1" spans="1:10" x14ac:dyDescent="0.25">
      <c r="A1" s="24" t="s">
        <v>0</v>
      </c>
      <c r="B1" s="25"/>
      <c r="C1" s="25"/>
      <c r="D1" s="25"/>
      <c r="E1" s="25"/>
      <c r="F1" s="25"/>
      <c r="G1" s="25"/>
      <c r="H1" s="1"/>
      <c r="I1" s="1"/>
      <c r="J1" s="2"/>
    </row>
    <row r="2" spans="1:10" ht="26.25" x14ac:dyDescent="0.25">
      <c r="A2" s="3" t="s">
        <v>1</v>
      </c>
      <c r="B2" s="3" t="s">
        <v>2</v>
      </c>
      <c r="C2" s="3" t="s">
        <v>3</v>
      </c>
      <c r="D2" s="3" t="s">
        <v>4</v>
      </c>
      <c r="E2" s="4" t="s">
        <v>5</v>
      </c>
      <c r="F2" s="3" t="s">
        <v>6</v>
      </c>
      <c r="G2" s="22" t="s">
        <v>67</v>
      </c>
      <c r="H2" s="1"/>
      <c r="I2" s="1"/>
      <c r="J2" s="2"/>
    </row>
    <row r="3" spans="1:10" x14ac:dyDescent="0.25">
      <c r="A3" s="5" t="s">
        <v>7</v>
      </c>
      <c r="B3" s="5" t="s">
        <v>8</v>
      </c>
      <c r="C3" s="6" t="s">
        <v>12</v>
      </c>
      <c r="D3" s="6" t="s">
        <v>10</v>
      </c>
      <c r="E3" s="7" t="s">
        <v>11</v>
      </c>
      <c r="F3" s="8">
        <v>640</v>
      </c>
      <c r="G3" s="19">
        <f>1/12</f>
        <v>8.3333333333333329E-2</v>
      </c>
      <c r="H3" s="1"/>
      <c r="I3" s="1"/>
      <c r="J3" s="2"/>
    </row>
    <row r="4" spans="1:10" x14ac:dyDescent="0.25">
      <c r="A4" s="5" t="s">
        <v>7</v>
      </c>
      <c r="B4" s="5" t="s">
        <v>13</v>
      </c>
      <c r="C4" s="6" t="s">
        <v>14</v>
      </c>
      <c r="D4" s="6" t="s">
        <v>10</v>
      </c>
      <c r="E4" s="7" t="s">
        <v>11</v>
      </c>
      <c r="F4" s="8">
        <v>640</v>
      </c>
      <c r="G4" s="19">
        <f>1/12</f>
        <v>8.3333333333333329E-2</v>
      </c>
      <c r="H4" s="1"/>
      <c r="I4" s="1"/>
      <c r="J4" s="1"/>
    </row>
    <row r="5" spans="1:10" x14ac:dyDescent="0.25">
      <c r="A5" s="5" t="s">
        <v>7</v>
      </c>
      <c r="B5" s="5" t="s">
        <v>8</v>
      </c>
      <c r="C5" s="6" t="s">
        <v>15</v>
      </c>
      <c r="D5" s="6" t="s">
        <v>10</v>
      </c>
      <c r="E5" s="7" t="s">
        <v>11</v>
      </c>
      <c r="F5" s="8">
        <v>640</v>
      </c>
      <c r="G5" s="19">
        <f>1/6</f>
        <v>0.16666666666666666</v>
      </c>
      <c r="H5" s="1"/>
      <c r="I5" s="1"/>
      <c r="J5" s="1"/>
    </row>
    <row r="6" spans="1:10" x14ac:dyDescent="0.25">
      <c r="A6" s="5" t="s">
        <v>7</v>
      </c>
      <c r="B6" s="5" t="s">
        <v>8</v>
      </c>
      <c r="C6" s="6" t="s">
        <v>16</v>
      </c>
      <c r="D6" s="6" t="s">
        <v>10</v>
      </c>
      <c r="E6" s="7" t="s">
        <v>11</v>
      </c>
      <c r="F6" s="8">
        <v>640</v>
      </c>
      <c r="G6" s="19">
        <f>1/6</f>
        <v>0.16666666666666666</v>
      </c>
      <c r="H6" s="1"/>
      <c r="I6" s="1"/>
      <c r="J6" s="1"/>
    </row>
    <row r="7" spans="1:10" x14ac:dyDescent="0.25">
      <c r="A7" s="5" t="s">
        <v>7</v>
      </c>
      <c r="B7" s="5" t="s">
        <v>8</v>
      </c>
      <c r="C7" s="6" t="s">
        <v>17</v>
      </c>
      <c r="D7" s="6" t="s">
        <v>10</v>
      </c>
      <c r="E7" s="7" t="s">
        <v>11</v>
      </c>
      <c r="F7" s="8">
        <v>640</v>
      </c>
      <c r="G7" s="19">
        <f>1/6</f>
        <v>0.16666666666666666</v>
      </c>
      <c r="H7" s="1"/>
      <c r="I7" s="1"/>
      <c r="J7" s="1"/>
    </row>
    <row r="8" spans="1:10" x14ac:dyDescent="0.25">
      <c r="A8" s="5" t="s">
        <v>7</v>
      </c>
      <c r="B8" s="5" t="s">
        <v>8</v>
      </c>
      <c r="C8" s="6" t="s">
        <v>18</v>
      </c>
      <c r="D8" s="6" t="s">
        <v>10</v>
      </c>
      <c r="E8" s="7" t="s">
        <v>11</v>
      </c>
      <c r="F8" s="8">
        <v>640</v>
      </c>
      <c r="G8" s="19">
        <f>1/6</f>
        <v>0.16666666666666666</v>
      </c>
      <c r="H8" s="1"/>
      <c r="I8" s="1"/>
      <c r="J8" s="1"/>
    </row>
    <row r="9" spans="1:10" x14ac:dyDescent="0.25">
      <c r="A9" s="5" t="s">
        <v>7</v>
      </c>
      <c r="B9" s="5" t="s">
        <v>8</v>
      </c>
      <c r="C9" s="6" t="s">
        <v>19</v>
      </c>
      <c r="D9" s="6" t="s">
        <v>10</v>
      </c>
      <c r="E9" s="7" t="s">
        <v>11</v>
      </c>
      <c r="F9" s="8">
        <v>640</v>
      </c>
      <c r="G9" s="19">
        <f>1/6</f>
        <v>0.16666666666666666</v>
      </c>
      <c r="H9" s="1"/>
      <c r="I9" s="1"/>
      <c r="J9" s="1"/>
    </row>
    <row r="10" spans="1:10" x14ac:dyDescent="0.25">
      <c r="A10" s="9" t="s">
        <v>20</v>
      </c>
      <c r="B10" s="10"/>
      <c r="C10" s="10"/>
      <c r="D10" s="10"/>
      <c r="E10" s="10"/>
      <c r="F10" s="11">
        <f>SUM(F3:F9)</f>
        <v>4480</v>
      </c>
      <c r="G10" s="20">
        <f>SUM(G3:G9)</f>
        <v>0.99999999999999989</v>
      </c>
      <c r="H10" s="1"/>
      <c r="I10" s="1"/>
      <c r="J10" s="1"/>
    </row>
    <row r="11" spans="1:10" x14ac:dyDescent="0.25">
      <c r="A11" s="1"/>
      <c r="B11" s="1"/>
      <c r="C11" s="1"/>
      <c r="D11" s="1"/>
      <c r="E11" s="1"/>
      <c r="F11" s="1"/>
      <c r="G11" s="18"/>
      <c r="H11" s="1"/>
      <c r="I11" s="1"/>
      <c r="J11" s="1"/>
    </row>
    <row r="12" spans="1:10" ht="26.25" x14ac:dyDescent="0.25">
      <c r="A12" s="4" t="s">
        <v>21</v>
      </c>
      <c r="B12" s="4" t="s">
        <v>22</v>
      </c>
      <c r="C12" s="4" t="s">
        <v>6</v>
      </c>
      <c r="D12" s="23" t="s">
        <v>68</v>
      </c>
      <c r="E12" s="1"/>
      <c r="F12" s="18"/>
      <c r="G12" s="1"/>
      <c r="H12" s="1"/>
      <c r="I12" s="1"/>
    </row>
    <row r="13" spans="1:10" x14ac:dyDescent="0.25">
      <c r="A13" s="12" t="s">
        <v>23</v>
      </c>
      <c r="B13" s="14" t="s">
        <v>24</v>
      </c>
      <c r="C13" s="8">
        <v>160</v>
      </c>
      <c r="D13" s="13">
        <f>C13/640*$G$3</f>
        <v>2.0833333333333332E-2</v>
      </c>
      <c r="E13" s="1"/>
      <c r="F13" s="18"/>
      <c r="G13" s="1"/>
      <c r="H13" s="1"/>
      <c r="I13" s="1"/>
    </row>
    <row r="14" spans="1:10" x14ac:dyDescent="0.25">
      <c r="A14" s="7" t="s">
        <v>25</v>
      </c>
      <c r="B14" s="14" t="s">
        <v>26</v>
      </c>
      <c r="C14" s="8">
        <v>160</v>
      </c>
      <c r="D14" s="13">
        <f t="shared" ref="D14:D16" si="0">C14/640*$G$3</f>
        <v>2.0833333333333332E-2</v>
      </c>
      <c r="E14" s="1"/>
      <c r="F14" s="18"/>
      <c r="G14" s="1"/>
      <c r="H14" s="1"/>
      <c r="I14" s="1"/>
    </row>
    <row r="15" spans="1:10" x14ac:dyDescent="0.25">
      <c r="A15" s="7" t="s">
        <v>27</v>
      </c>
      <c r="B15" s="14" t="s">
        <v>28</v>
      </c>
      <c r="C15" s="8">
        <v>160</v>
      </c>
      <c r="D15" s="13">
        <f t="shared" si="0"/>
        <v>2.0833333333333332E-2</v>
      </c>
      <c r="E15" s="1"/>
      <c r="F15" s="18"/>
      <c r="G15" s="1"/>
      <c r="H15" s="1"/>
      <c r="I15" s="1"/>
    </row>
    <row r="16" spans="1:10" x14ac:dyDescent="0.25">
      <c r="A16" s="7" t="s">
        <v>29</v>
      </c>
      <c r="B16" s="14" t="s">
        <v>30</v>
      </c>
      <c r="C16" s="8">
        <v>160</v>
      </c>
      <c r="D16" s="13">
        <f t="shared" si="0"/>
        <v>2.0833333333333332E-2</v>
      </c>
      <c r="E16" s="1"/>
      <c r="F16" s="18"/>
      <c r="G16" s="1"/>
      <c r="H16" s="1"/>
      <c r="I16" s="1"/>
    </row>
    <row r="17" spans="1:9" x14ac:dyDescent="0.25">
      <c r="A17" s="12" t="s">
        <v>31</v>
      </c>
      <c r="B17" s="14" t="s">
        <v>32</v>
      </c>
      <c r="C17" s="8">
        <v>120</v>
      </c>
      <c r="D17" s="13">
        <f>C17/640*$G$4</f>
        <v>1.5625E-2</v>
      </c>
      <c r="E17" s="1"/>
      <c r="F17" s="18"/>
      <c r="G17" s="1"/>
      <c r="H17" s="1"/>
      <c r="I17" s="1"/>
    </row>
    <row r="18" spans="1:9" x14ac:dyDescent="0.25">
      <c r="A18" s="7" t="s">
        <v>33</v>
      </c>
      <c r="B18" s="14" t="s">
        <v>34</v>
      </c>
      <c r="C18" s="8">
        <v>40</v>
      </c>
      <c r="D18" s="13">
        <f t="shared" ref="D18:D21" si="1">C18/640*$G$4</f>
        <v>5.208333333333333E-3</v>
      </c>
      <c r="E18" s="1"/>
      <c r="F18" s="18"/>
      <c r="G18" s="1"/>
      <c r="H18" s="1"/>
      <c r="I18" s="1"/>
    </row>
    <row r="19" spans="1:9" x14ac:dyDescent="0.25">
      <c r="A19" s="7" t="s">
        <v>35</v>
      </c>
      <c r="B19" s="14" t="s">
        <v>36</v>
      </c>
      <c r="C19" s="8">
        <v>160</v>
      </c>
      <c r="D19" s="13">
        <f t="shared" si="1"/>
        <v>2.0833333333333332E-2</v>
      </c>
      <c r="E19" s="1"/>
      <c r="F19" s="18"/>
      <c r="G19" s="1"/>
      <c r="H19" s="1"/>
      <c r="I19" s="1"/>
    </row>
    <row r="20" spans="1:9" x14ac:dyDescent="0.25">
      <c r="A20" s="7" t="s">
        <v>37</v>
      </c>
      <c r="B20" s="14" t="s">
        <v>38</v>
      </c>
      <c r="C20" s="8">
        <v>160</v>
      </c>
      <c r="D20" s="13">
        <f t="shared" si="1"/>
        <v>2.0833333333333332E-2</v>
      </c>
      <c r="E20" s="1"/>
      <c r="F20" s="18"/>
      <c r="G20" s="1"/>
      <c r="H20" s="1"/>
      <c r="I20" s="1"/>
    </row>
    <row r="21" spans="1:9" x14ac:dyDescent="0.25">
      <c r="A21" s="12" t="s">
        <v>9</v>
      </c>
      <c r="B21" s="14" t="s">
        <v>39</v>
      </c>
      <c r="C21" s="8">
        <v>160</v>
      </c>
      <c r="D21" s="13">
        <f t="shared" si="1"/>
        <v>2.0833333333333332E-2</v>
      </c>
      <c r="E21" s="1"/>
      <c r="F21" s="18"/>
      <c r="G21" s="1"/>
      <c r="H21" s="1"/>
      <c r="I21" s="1"/>
    </row>
    <row r="22" spans="1:9" x14ac:dyDescent="0.25">
      <c r="A22" s="7" t="s">
        <v>12</v>
      </c>
      <c r="B22" s="14" t="s">
        <v>40</v>
      </c>
      <c r="C22" s="8">
        <v>240</v>
      </c>
      <c r="D22" s="13">
        <f>C22/640*$G$5</f>
        <v>6.25E-2</v>
      </c>
      <c r="E22" s="1"/>
      <c r="F22" s="18"/>
      <c r="G22" s="1"/>
      <c r="H22" s="1"/>
      <c r="I22" s="1"/>
    </row>
    <row r="23" spans="1:9" x14ac:dyDescent="0.25">
      <c r="A23" s="7" t="s">
        <v>41</v>
      </c>
      <c r="B23" s="14" t="s">
        <v>42</v>
      </c>
      <c r="C23" s="8">
        <v>40</v>
      </c>
      <c r="D23" s="13">
        <f t="shared" ref="D23:D25" si="2">C23/640*$G$5</f>
        <v>1.0416666666666666E-2</v>
      </c>
      <c r="E23" s="1"/>
      <c r="F23" s="18"/>
      <c r="G23" s="1"/>
      <c r="H23" s="1"/>
      <c r="I23" s="1"/>
    </row>
    <row r="24" spans="1:9" x14ac:dyDescent="0.25">
      <c r="A24" s="7" t="s">
        <v>43</v>
      </c>
      <c r="B24" s="14" t="s">
        <v>44</v>
      </c>
      <c r="C24" s="8">
        <v>120</v>
      </c>
      <c r="D24" s="13">
        <f t="shared" si="2"/>
        <v>3.125E-2</v>
      </c>
      <c r="E24" s="1"/>
      <c r="F24" s="18"/>
      <c r="G24" s="1"/>
      <c r="H24" s="1"/>
      <c r="I24" s="1"/>
    </row>
    <row r="25" spans="1:9" x14ac:dyDescent="0.25">
      <c r="A25" s="12" t="s">
        <v>45</v>
      </c>
      <c r="B25" s="14" t="s">
        <v>46</v>
      </c>
      <c r="C25" s="8">
        <v>240</v>
      </c>
      <c r="D25" s="13">
        <f t="shared" si="2"/>
        <v>6.25E-2</v>
      </c>
      <c r="E25" s="1"/>
      <c r="F25" s="18"/>
      <c r="G25" s="1"/>
      <c r="H25" s="1"/>
      <c r="I25" s="1"/>
    </row>
    <row r="26" spans="1:9" x14ac:dyDescent="0.25">
      <c r="A26" s="7" t="s">
        <v>47</v>
      </c>
      <c r="B26" s="14" t="s">
        <v>48</v>
      </c>
      <c r="C26" s="8">
        <v>320</v>
      </c>
      <c r="D26" s="13">
        <f>C26/640*$G$6</f>
        <v>8.3333333333333329E-2</v>
      </c>
      <c r="E26" s="1"/>
      <c r="F26" s="18"/>
      <c r="G26" s="1"/>
      <c r="H26" s="1"/>
      <c r="I26" s="1"/>
    </row>
    <row r="27" spans="1:9" x14ac:dyDescent="0.25">
      <c r="A27" s="7" t="s">
        <v>49</v>
      </c>
      <c r="B27" s="14" t="s">
        <v>50</v>
      </c>
      <c r="C27" s="8">
        <v>160</v>
      </c>
      <c r="D27" s="13">
        <f t="shared" ref="D27:D28" si="3">C27/640*$G$6</f>
        <v>4.1666666666666664E-2</v>
      </c>
      <c r="E27" s="1"/>
      <c r="F27" s="18"/>
      <c r="G27" s="1"/>
      <c r="H27" s="1"/>
      <c r="I27" s="1"/>
    </row>
    <row r="28" spans="1:9" x14ac:dyDescent="0.25">
      <c r="A28" s="7" t="s">
        <v>51</v>
      </c>
      <c r="B28" s="14" t="s">
        <v>52</v>
      </c>
      <c r="C28" s="8">
        <v>160</v>
      </c>
      <c r="D28" s="13">
        <f t="shared" si="3"/>
        <v>4.1666666666666664E-2</v>
      </c>
      <c r="E28" s="1"/>
      <c r="F28" s="18"/>
      <c r="G28" s="1"/>
      <c r="H28" s="1"/>
      <c r="I28" s="1"/>
    </row>
    <row r="29" spans="1:9" x14ac:dyDescent="0.25">
      <c r="A29" s="12" t="s">
        <v>53</v>
      </c>
      <c r="B29" s="14" t="s">
        <v>54</v>
      </c>
      <c r="C29" s="8">
        <v>160</v>
      </c>
      <c r="D29" s="13">
        <f>C29/640*$G$7</f>
        <v>4.1666666666666664E-2</v>
      </c>
      <c r="E29" s="1"/>
      <c r="F29" s="18"/>
      <c r="G29" s="1"/>
      <c r="H29" s="1"/>
      <c r="I29" s="1"/>
    </row>
    <row r="30" spans="1:9" x14ac:dyDescent="0.25">
      <c r="A30" s="7" t="s">
        <v>55</v>
      </c>
      <c r="B30" s="14" t="s">
        <v>56</v>
      </c>
      <c r="C30" s="8">
        <v>160</v>
      </c>
      <c r="D30" s="13">
        <f t="shared" ref="D30:D32" si="4">C30/640*$G$7</f>
        <v>4.1666666666666664E-2</v>
      </c>
      <c r="E30" s="1"/>
      <c r="F30" s="18"/>
      <c r="G30" s="1"/>
      <c r="H30" s="1"/>
      <c r="I30" s="1"/>
    </row>
    <row r="31" spans="1:9" x14ac:dyDescent="0.25">
      <c r="A31" s="7" t="s">
        <v>14</v>
      </c>
      <c r="B31" s="14" t="s">
        <v>57</v>
      </c>
      <c r="C31" s="8">
        <v>160</v>
      </c>
      <c r="D31" s="13">
        <f t="shared" si="4"/>
        <v>4.1666666666666664E-2</v>
      </c>
      <c r="E31" s="1"/>
      <c r="F31" s="18"/>
      <c r="G31" s="1"/>
      <c r="H31" s="1"/>
      <c r="I31" s="1"/>
    </row>
    <row r="32" spans="1:9" x14ac:dyDescent="0.25">
      <c r="A32" s="7" t="s">
        <v>15</v>
      </c>
      <c r="B32" s="14" t="s">
        <v>58</v>
      </c>
      <c r="C32" s="8">
        <v>160</v>
      </c>
      <c r="D32" s="13">
        <f t="shared" si="4"/>
        <v>4.1666666666666664E-2</v>
      </c>
      <c r="E32" s="1"/>
      <c r="F32" s="18"/>
      <c r="G32" s="1"/>
      <c r="H32" s="1"/>
      <c r="I32" s="1"/>
    </row>
    <row r="33" spans="1:9" x14ac:dyDescent="0.25">
      <c r="A33" s="12" t="s">
        <v>16</v>
      </c>
      <c r="B33" s="14" t="s">
        <v>59</v>
      </c>
      <c r="C33" s="8">
        <v>320</v>
      </c>
      <c r="D33" s="13">
        <f>C33/640*$G$8</f>
        <v>8.3333333333333329E-2</v>
      </c>
      <c r="E33" s="1"/>
      <c r="F33" s="18"/>
      <c r="G33" s="1"/>
      <c r="H33" s="1"/>
      <c r="I33" s="1"/>
    </row>
    <row r="34" spans="1:9" x14ac:dyDescent="0.25">
      <c r="A34" s="7" t="s">
        <v>17</v>
      </c>
      <c r="B34" s="14" t="s">
        <v>60</v>
      </c>
      <c r="C34" s="8">
        <v>160</v>
      </c>
      <c r="D34" s="13">
        <f t="shared" ref="D34:D35" si="5">C34/640*$G$8</f>
        <v>4.1666666666666664E-2</v>
      </c>
      <c r="E34" s="1"/>
      <c r="F34" s="18"/>
      <c r="G34" s="1"/>
      <c r="H34" s="1"/>
      <c r="I34" s="1"/>
    </row>
    <row r="35" spans="1:9" x14ac:dyDescent="0.25">
      <c r="A35" s="7" t="s">
        <v>61</v>
      </c>
      <c r="B35" s="14" t="s">
        <v>62</v>
      </c>
      <c r="C35" s="8">
        <v>160</v>
      </c>
      <c r="D35" s="13">
        <f t="shared" si="5"/>
        <v>4.1666666666666664E-2</v>
      </c>
      <c r="E35" s="1"/>
      <c r="F35" s="18"/>
      <c r="G35" s="1"/>
      <c r="H35" s="1"/>
      <c r="I35" s="1"/>
    </row>
    <row r="36" spans="1:9" x14ac:dyDescent="0.25">
      <c r="A36" s="7" t="s">
        <v>63</v>
      </c>
      <c r="B36" s="14" t="s">
        <v>64</v>
      </c>
      <c r="C36" s="8">
        <v>480</v>
      </c>
      <c r="D36" s="13">
        <f>C36/640*$G$9</f>
        <v>0.125</v>
      </c>
      <c r="E36" s="1"/>
      <c r="F36" s="18"/>
      <c r="G36" s="1"/>
      <c r="H36" s="1"/>
      <c r="I36" s="1"/>
    </row>
    <row r="37" spans="1:9" x14ac:dyDescent="0.25">
      <c r="A37" s="12" t="s">
        <v>65</v>
      </c>
      <c r="B37" s="14" t="s">
        <v>66</v>
      </c>
      <c r="C37" s="8">
        <v>160</v>
      </c>
      <c r="D37" s="13">
        <f>C37/640*$G$9</f>
        <v>4.1666666666666664E-2</v>
      </c>
      <c r="E37" s="1"/>
      <c r="F37" s="18"/>
      <c r="G37" s="1"/>
      <c r="H37" s="1"/>
      <c r="I37" s="1"/>
    </row>
    <row r="38" spans="1:9" x14ac:dyDescent="0.25">
      <c r="A38" s="9" t="s">
        <v>20</v>
      </c>
      <c r="B38" s="15"/>
      <c r="C38" s="16">
        <f>SUM(C13:C37)</f>
        <v>4480</v>
      </c>
      <c r="D38" s="17">
        <f>SUM(D13:D37)</f>
        <v>0.99999999999999978</v>
      </c>
      <c r="E38" s="1"/>
      <c r="F38" s="18"/>
      <c r="G38" s="1"/>
      <c r="H38" s="1"/>
      <c r="I38" s="1"/>
    </row>
  </sheetData>
  <mergeCells count="1">
    <mergeCell ref="A1:G1"/>
  </mergeCells>
  <printOptions horizontalCentered="1"/>
  <pageMargins left="0.25" right="0.25" top="0.75" bottom="0.75" header="0.3" footer="0.3"/>
  <pageSetup fitToHeight="0" orientation="portrait"/>
  <headerFooter scaleWithDoc="0">
    <oddHeader>&amp;C&amp;"Times New Roman,Bold"&amp;11 Schedule 1: Tract List</oddHeader>
    <oddFooter>&amp;C&amp;"Times New Roman"&amp;10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Tract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Russell Oxford</dc:creator>
  <cp:lastModifiedBy>Russell Oxford</cp:lastModifiedBy>
  <dcterms:created xsi:type="dcterms:W3CDTF">2025-11-26T18:19:49Z</dcterms:created>
  <dcterms:modified xsi:type="dcterms:W3CDTF">2025-11-26T23:57:50Z</dcterms:modified>
</cp:coreProperties>
</file>