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DOI-Reports\"/>
    </mc:Choice>
  </mc:AlternateContent>
  <xr:revisionPtr revIDLastSave="0" documentId="13_ncr:1_{A5F25C4F-7FCF-4E38-805C-B97A18686C8A}" xr6:coauthVersionLast="47" xr6:coauthVersionMax="47" xr10:uidLastSave="{00000000-0000-0000-0000-000000000000}"/>
  <bookViews>
    <workbookView xWindow="38280" yWindow="-120" windowWidth="51840" windowHeight="21120" xr2:uid="{F05F6227-1CA0-4B4D-9C0D-5F720308895F}"/>
  </bookViews>
  <sheets>
    <sheet name="Tract List" sheetId="3" r:id="rId1"/>
  </sheets>
  <externalReferences>
    <externalReference r:id="rId2"/>
  </externalReferences>
  <definedNames>
    <definedName name="FIXED_UNIT_TOTAL">[1]RunSheet!$O$16</definedName>
    <definedName name="Lands">#REF!</definedName>
    <definedName name="Owners">#REF!</definedName>
    <definedName name="PriorOpinions">#REF!</definedName>
    <definedName name="TractAcres">#REF!</definedName>
    <definedName name="TractSum">#REF!</definedName>
    <definedName name="UnitFactor">#REF!</definedName>
    <definedName name="UnitSu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" l="1"/>
  <c r="D41" i="3"/>
  <c r="D40" i="3"/>
  <c r="D39" i="3"/>
  <c r="D38" i="3"/>
  <c r="D35" i="3"/>
  <c r="D31" i="3"/>
  <c r="D30" i="3"/>
  <c r="D25" i="3"/>
  <c r="D24" i="3"/>
  <c r="D23" i="3"/>
  <c r="D22" i="3"/>
  <c r="D16" i="3"/>
  <c r="D15" i="3"/>
  <c r="D14" i="3"/>
  <c r="F10" i="3"/>
  <c r="G9" i="3"/>
  <c r="D21" i="3" s="1"/>
  <c r="G8" i="3"/>
  <c r="D13" i="3" s="1"/>
  <c r="G7" i="3"/>
  <c r="D33" i="3" s="1"/>
  <c r="G6" i="3"/>
  <c r="D29" i="3" s="1"/>
  <c r="G5" i="3"/>
  <c r="D43" i="3" s="1"/>
  <c r="G4" i="3"/>
  <c r="G3" i="3"/>
  <c r="D37" i="3" s="1"/>
  <c r="D17" i="3" l="1"/>
  <c r="D44" i="3" s="1"/>
  <c r="D18" i="3"/>
  <c r="D34" i="3"/>
  <c r="D42" i="3"/>
  <c r="D19" i="3"/>
  <c r="D27" i="3"/>
  <c r="G10" i="3"/>
  <c r="D20" i="3"/>
  <c r="D28" i="3"/>
  <c r="D36" i="3"/>
  <c r="D32" i="3"/>
  <c r="D26" i="3"/>
</calcChain>
</file>

<file path=xl/sharedStrings.xml><?xml version="1.0" encoding="utf-8"?>
<sst xmlns="http://schemas.openxmlformats.org/spreadsheetml/2006/main" count="111" uniqueCount="84">
  <si>
    <t>Legal Description</t>
  </si>
  <si>
    <t>19</t>
  </si>
  <si>
    <t>17</t>
  </si>
  <si>
    <t>15</t>
  </si>
  <si>
    <t>20</t>
  </si>
  <si>
    <t>14</t>
  </si>
  <si>
    <t>18</t>
  </si>
  <si>
    <t>16</t>
  </si>
  <si>
    <t>28</t>
  </si>
  <si>
    <t>36</t>
  </si>
  <si>
    <t>24</t>
  </si>
  <si>
    <t>25</t>
  </si>
  <si>
    <t>31</t>
  </si>
  <si>
    <t>30</t>
  </si>
  <si>
    <t>Section 24: NE/4, E/2NW/4</t>
  </si>
  <si>
    <t>Section 24: NW/4NW/4</t>
  </si>
  <si>
    <t>Section 24: SW/4NW/4, N/2SW/4</t>
  </si>
  <si>
    <t>Section 24: SE/4, S/2SW/4</t>
  </si>
  <si>
    <t>Section 25: N/2</t>
  </si>
  <si>
    <t>Section 25: SW/4</t>
  </si>
  <si>
    <t>Section 25: SE/4</t>
  </si>
  <si>
    <t>29</t>
  </si>
  <si>
    <t>Section 36: S/2, NE/4</t>
  </si>
  <si>
    <t>Section 36: NW/4</t>
  </si>
  <si>
    <t>LANDS</t>
  </si>
  <si>
    <t>State</t>
  </si>
  <si>
    <t>County</t>
  </si>
  <si>
    <t>Section</t>
  </si>
  <si>
    <t>Township</t>
  </si>
  <si>
    <t>Range</t>
  </si>
  <si>
    <t>Acres</t>
  </si>
  <si>
    <t>North Dakota</t>
  </si>
  <si>
    <t>Williams</t>
  </si>
  <si>
    <t>157N</t>
  </si>
  <si>
    <t>97W</t>
  </si>
  <si>
    <t>TOTAL UNIT ACRES</t>
  </si>
  <si>
    <t>Tract</t>
  </si>
  <si>
    <t>Oram 9</t>
  </si>
  <si>
    <t>Oram 10</t>
  </si>
  <si>
    <t>Oram 11</t>
  </si>
  <si>
    <t>Oram 12</t>
  </si>
  <si>
    <t>Oram 13</t>
  </si>
  <si>
    <t>Oram 14</t>
  </si>
  <si>
    <t>Oram 15</t>
  </si>
  <si>
    <t>Oram 16</t>
  </si>
  <si>
    <t>Oram 17</t>
  </si>
  <si>
    <t>Oram 18</t>
  </si>
  <si>
    <t>Oram 19</t>
  </si>
  <si>
    <t>Oram 20</t>
  </si>
  <si>
    <t>Oram 21</t>
  </si>
  <si>
    <t>Oram 22</t>
  </si>
  <si>
    <t>Oram 33</t>
  </si>
  <si>
    <t>Oram 34</t>
  </si>
  <si>
    <t>Oram 35</t>
  </si>
  <si>
    <t>Oram 36</t>
  </si>
  <si>
    <t>Oram 37</t>
  </si>
  <si>
    <t>Oram 38</t>
  </si>
  <si>
    <t>Oram 39</t>
  </si>
  <si>
    <t>Oram 40</t>
  </si>
  <si>
    <t>Allocation Factor</t>
  </si>
  <si>
    <t>96W</t>
  </si>
  <si>
    <t>Tract Allocation</t>
  </si>
  <si>
    <t>Section 19: Lots 3, 4</t>
  </si>
  <si>
    <t>Section 18: NE/4</t>
  </si>
  <si>
    <t>Section 18: Lot 1, E/2NW/4</t>
  </si>
  <si>
    <t>Section 18: Lots 2, 3, 4, NE/4SW/4</t>
  </si>
  <si>
    <t>Section 18: SE/4SW/4</t>
  </si>
  <si>
    <t>Section 18: SE/4</t>
  </si>
  <si>
    <t>Section 19: N/2NE/4, SE/4NE/4</t>
  </si>
  <si>
    <t>Section 19: SW/4NE/4</t>
  </si>
  <si>
    <t>Section 19: SE/4NW/4</t>
  </si>
  <si>
    <t>Section 19: NE/4SW/4</t>
  </si>
  <si>
    <t>Section 19: NW/4SE/4</t>
  </si>
  <si>
    <t>Section 19: Lots 1, 2, NE/4NW/4</t>
  </si>
  <si>
    <t>Section 19: SE/4SW/4</t>
  </si>
  <si>
    <t>Section 19: E/2SE/4, SW/4SE/4</t>
  </si>
  <si>
    <t>Section 30: NE/4</t>
  </si>
  <si>
    <t>Section 30: Lots 1, 2, E/2NW/4</t>
  </si>
  <si>
    <t>Section 30: Lots 3, 4, E/2SW/4</t>
  </si>
  <si>
    <t>Section 30: SE/4</t>
  </si>
  <si>
    <t>Section 31: Lots 1, 2, NW/4NE/4, NE/4NW/4</t>
  </si>
  <si>
    <t>Section 31: E/2NE/4, N/2SE/4</t>
  </si>
  <si>
    <t>Section 31: Lot 3, SW/4NE/4, SE/4NW/4, NE/4SW/4</t>
  </si>
  <si>
    <t>Section 31: Lot 4, SE/4SW/4, S/2SE/4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</si>
</sst>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"/>
    <numFmt numFmtId="166" formatCode="0.000"/>
  </numFmts>
  <fonts count="4" x14ac:knownFonts="1"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0" xfId="1" applyFont="1"/>
    <xf numFmtId="0" fontId="1" fillId="0" borderId="0" xfId="1" applyFont="1" applyAlignment="1">
      <alignment horizontal="center"/>
    </xf>
    <xf numFmtId="0" fontId="2" fillId="0" borderId="0" xfId="1"/>
    <xf numFmtId="166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wrapText="1"/>
    </xf>
    <xf numFmtId="49" fontId="1" fillId="0" borderId="1" xfId="1" applyNumberFormat="1" applyFont="1" applyBorder="1" applyAlignment="1">
      <alignment horizontal="left" wrapText="1"/>
    </xf>
    <xf numFmtId="49" fontId="1" fillId="0" borderId="1" xfId="1" applyNumberFormat="1" applyFont="1" applyBorder="1" applyAlignment="1">
      <alignment horizontal="center" wrapText="1"/>
    </xf>
    <xf numFmtId="49" fontId="1" fillId="0" borderId="1" xfId="1" applyNumberFormat="1" applyFont="1" applyBorder="1" applyAlignment="1">
      <alignment horizontal="center"/>
    </xf>
    <xf numFmtId="165" fontId="1" fillId="0" borderId="1" xfId="1" applyNumberFormat="1" applyFont="1" applyBorder="1" applyAlignment="1">
      <alignment horizontal="right"/>
    </xf>
    <xf numFmtId="164" fontId="1" fillId="0" borderId="1" xfId="1" applyNumberFormat="1" applyFont="1" applyBorder="1" applyAlignment="1">
      <alignment horizontal="right"/>
    </xf>
    <xf numFmtId="0" fontId="3" fillId="3" borderId="2" xfId="1" applyFont="1" applyFill="1" applyBorder="1" applyAlignment="1">
      <alignment horizontal="left"/>
    </xf>
    <xf numFmtId="0" fontId="1" fillId="3" borderId="3" xfId="1" applyFont="1" applyFill="1" applyBorder="1"/>
    <xf numFmtId="165" fontId="3" fillId="3" borderId="4" xfId="1" applyNumberFormat="1" applyFont="1" applyFill="1" applyBorder="1"/>
    <xf numFmtId="164" fontId="3" fillId="3" borderId="4" xfId="1" applyNumberFormat="1" applyFont="1" applyFill="1" applyBorder="1"/>
    <xf numFmtId="164" fontId="1" fillId="0" borderId="0" xfId="1" applyNumberFormat="1" applyFont="1"/>
    <xf numFmtId="0" fontId="3" fillId="2" borderId="1" xfId="1" applyFont="1" applyFill="1" applyBorder="1" applyAlignment="1">
      <alignment horizontal="center" wrapText="1"/>
    </xf>
    <xf numFmtId="0" fontId="1" fillId="0" borderId="1" xfId="1" applyFont="1" applyBorder="1" applyAlignment="1">
      <alignment horizontal="center"/>
    </xf>
    <xf numFmtId="49" fontId="1" fillId="0" borderId="5" xfId="1" applyNumberFormat="1" applyFont="1" applyBorder="1" applyAlignment="1">
      <alignment horizontal="left" wrapText="1"/>
    </xf>
    <xf numFmtId="164" fontId="1" fillId="4" borderId="1" xfId="1" applyNumberFormat="1" applyFont="1" applyFill="1" applyBorder="1" applyAlignment="1">
      <alignment horizontal="right"/>
    </xf>
    <xf numFmtId="49" fontId="1" fillId="0" borderId="4" xfId="1" applyNumberFormat="1" applyFont="1" applyBorder="1" applyAlignment="1">
      <alignment horizontal="left" wrapText="1"/>
    </xf>
    <xf numFmtId="0" fontId="3" fillId="3" borderId="4" xfId="1" applyFont="1" applyFill="1" applyBorder="1" applyAlignment="1">
      <alignment horizontal="right"/>
    </xf>
    <xf numFmtId="165" fontId="3" fillId="3" borderId="4" xfId="1" applyNumberFormat="1" applyFont="1" applyFill="1" applyBorder="1" applyAlignment="1">
      <alignment horizontal="right"/>
    </xf>
    <xf numFmtId="164" fontId="3" fillId="3" borderId="1" xfId="1" applyNumberFormat="1" applyFont="1" applyFill="1" applyBorder="1" applyAlignment="1">
      <alignment horizontal="right"/>
    </xf>
    <xf numFmtId="164" fontId="2" fillId="0" borderId="0" xfId="1" applyNumberFormat="1"/>
    <xf numFmtId="0" fontId="3" fillId="5" borderId="2" xfId="1" applyFont="1" applyFill="1" applyBorder="1" applyAlignment="1">
      <alignment horizontal="left"/>
    </xf>
    <xf numFmtId="0" fontId="3" fillId="5" borderId="3" xfId="1" applyFont="1" applyFill="1" applyBorder="1" applyAlignment="1">
      <alignment horizontal="left"/>
    </xf>
    <xf numFmtId="0" fontId="3" fillId="5" borderId="4" xfId="1" applyFont="1" applyFill="1" applyBorder="1" applyAlignment="1">
      <alignment horizontal="left"/>
    </xf>
  </cellXfs>
  <cellStyles count="2">
    <cellStyle name="Normal" xfId="0" builtinId="0"/>
    <cellStyle name="Normal 2" xfId="1" xr:uid="{C35A0CE0-D2F2-47E6-B40E-7D70D08C02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uiperlawfirmcom.sharepoint.com/Public/Clients/Hess%20Corporation/Lemire%20-%20Barb%20-%20Wolla/Sec%2036%20(DRAFT)/IDK%20Working/RUNSHEET%20Template%20(Pinson).xls" TargetMode="External"/><Relationship Id="rId1" Type="http://schemas.openxmlformats.org/officeDocument/2006/relationships/externalLinkPath" Target="https://kuiperlawfirmcom.sharepoint.com/Public/Clients/Hess%20Corporation/Lemire%20-%20Barb/Review/DOIS/IDK%20Working/RUNSHEET%20Template%20(Pinson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nSheet"/>
      <sheetName val="Leasehold Runsheet"/>
      <sheetName val="Sheet1"/>
      <sheetName val="Leasehold Nts"/>
      <sheetName val="ORRI Nts"/>
    </sheetNames>
    <sheetDataSet>
      <sheetData sheetId="0">
        <row r="16">
          <cell r="O16">
            <v>640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6C63-35BE-4AAC-B704-787F9C8E8356}">
  <sheetPr>
    <pageSetUpPr fitToPage="1"/>
  </sheetPr>
  <dimension ref="A1:J44"/>
  <sheetViews>
    <sheetView tabSelected="1" workbookViewId="0">
      <selection activeCell="B35" sqref="B35"/>
    </sheetView>
  </sheetViews>
  <sheetFormatPr defaultRowHeight="15" x14ac:dyDescent="0.25"/>
  <cols>
    <col min="1" max="1" width="19.6640625" style="3" customWidth="1"/>
    <col min="2" max="2" width="61" style="3" customWidth="1"/>
    <col min="3" max="6" width="15" style="3" customWidth="1"/>
    <col min="7" max="7" width="15" style="25" customWidth="1"/>
    <col min="8" max="8" width="4.83203125" style="3" customWidth="1"/>
    <col min="9" max="9" width="15.33203125" style="3" customWidth="1"/>
    <col min="10" max="16384" width="9.33203125" style="3"/>
  </cols>
  <sheetData>
    <row r="1" spans="1:10" x14ac:dyDescent="0.25">
      <c r="A1" s="26" t="s">
        <v>24</v>
      </c>
      <c r="B1" s="27"/>
      <c r="C1" s="27"/>
      <c r="D1" s="27"/>
      <c r="E1" s="27"/>
      <c r="F1" s="27"/>
      <c r="G1" s="28"/>
      <c r="H1" s="1"/>
      <c r="I1" s="1"/>
      <c r="J1" s="2"/>
    </row>
    <row r="2" spans="1:10" ht="26.25" x14ac:dyDescent="0.25">
      <c r="A2" s="4" t="s">
        <v>25</v>
      </c>
      <c r="B2" s="4" t="s">
        <v>26</v>
      </c>
      <c r="C2" s="4" t="s">
        <v>27</v>
      </c>
      <c r="D2" s="4" t="s">
        <v>28</v>
      </c>
      <c r="E2" s="5" t="s">
        <v>29</v>
      </c>
      <c r="F2" s="4" t="s">
        <v>30</v>
      </c>
      <c r="G2" s="6" t="s">
        <v>59</v>
      </c>
      <c r="H2" s="1"/>
      <c r="I2" s="1"/>
      <c r="J2" s="2"/>
    </row>
    <row r="3" spans="1:10" x14ac:dyDescent="0.25">
      <c r="A3" s="7" t="s">
        <v>31</v>
      </c>
      <c r="B3" s="7" t="s">
        <v>32</v>
      </c>
      <c r="C3" s="8" t="s">
        <v>10</v>
      </c>
      <c r="D3" s="8" t="s">
        <v>33</v>
      </c>
      <c r="E3" s="9" t="s">
        <v>34</v>
      </c>
      <c r="F3" s="10">
        <v>640</v>
      </c>
      <c r="G3" s="11">
        <f>1/6</f>
        <v>0.16666666666666666</v>
      </c>
      <c r="H3" s="1"/>
      <c r="I3" s="1"/>
      <c r="J3" s="1"/>
    </row>
    <row r="4" spans="1:10" x14ac:dyDescent="0.25">
      <c r="A4" s="7" t="s">
        <v>31</v>
      </c>
      <c r="B4" s="7" t="s">
        <v>32</v>
      </c>
      <c r="C4" s="8" t="s">
        <v>11</v>
      </c>
      <c r="D4" s="8" t="s">
        <v>33</v>
      </c>
      <c r="E4" s="9" t="s">
        <v>34</v>
      </c>
      <c r="F4" s="10">
        <v>640</v>
      </c>
      <c r="G4" s="11">
        <f>1/6</f>
        <v>0.16666666666666666</v>
      </c>
      <c r="H4" s="1"/>
      <c r="I4" s="1"/>
      <c r="J4" s="1"/>
    </row>
    <row r="5" spans="1:10" x14ac:dyDescent="0.25">
      <c r="A5" s="7" t="s">
        <v>31</v>
      </c>
      <c r="B5" s="7" t="s">
        <v>32</v>
      </c>
      <c r="C5" s="8" t="s">
        <v>9</v>
      </c>
      <c r="D5" s="8" t="s">
        <v>33</v>
      </c>
      <c r="E5" s="9" t="s">
        <v>34</v>
      </c>
      <c r="F5" s="10">
        <v>640</v>
      </c>
      <c r="G5" s="11">
        <f>1/6</f>
        <v>0.16666666666666666</v>
      </c>
      <c r="H5" s="1"/>
      <c r="I5" s="1"/>
      <c r="J5" s="1"/>
    </row>
    <row r="6" spans="1:10" x14ac:dyDescent="0.25">
      <c r="A6" s="7" t="s">
        <v>31</v>
      </c>
      <c r="B6" s="7" t="s">
        <v>32</v>
      </c>
      <c r="C6" s="8" t="s">
        <v>13</v>
      </c>
      <c r="D6" s="8" t="s">
        <v>33</v>
      </c>
      <c r="E6" s="9" t="s">
        <v>60</v>
      </c>
      <c r="F6" s="10">
        <v>638.16</v>
      </c>
      <c r="G6" s="11">
        <f>1/6</f>
        <v>0.16666666666666666</v>
      </c>
      <c r="H6" s="1"/>
      <c r="I6" s="1"/>
      <c r="J6" s="1"/>
    </row>
    <row r="7" spans="1:10" x14ac:dyDescent="0.25">
      <c r="A7" s="7" t="s">
        <v>31</v>
      </c>
      <c r="B7" s="7" t="s">
        <v>32</v>
      </c>
      <c r="C7" s="8" t="s">
        <v>12</v>
      </c>
      <c r="D7" s="8" t="s">
        <v>33</v>
      </c>
      <c r="E7" s="9" t="s">
        <v>60</v>
      </c>
      <c r="F7" s="10">
        <v>639.36</v>
      </c>
      <c r="G7" s="11">
        <f>1/6</f>
        <v>0.16666666666666666</v>
      </c>
      <c r="H7" s="1"/>
      <c r="I7" s="1"/>
      <c r="J7" s="1"/>
    </row>
    <row r="8" spans="1:10" x14ac:dyDescent="0.25">
      <c r="A8" s="7" t="s">
        <v>31</v>
      </c>
      <c r="B8" s="7" t="s">
        <v>32</v>
      </c>
      <c r="C8" s="8" t="s">
        <v>6</v>
      </c>
      <c r="D8" s="8" t="s">
        <v>33</v>
      </c>
      <c r="E8" s="9" t="s">
        <v>60</v>
      </c>
      <c r="F8" s="10">
        <v>636.32000000000005</v>
      </c>
      <c r="G8" s="11">
        <f>1/12</f>
        <v>8.3333333333333329E-2</v>
      </c>
      <c r="H8" s="1"/>
      <c r="I8" s="1"/>
      <c r="J8" s="1"/>
    </row>
    <row r="9" spans="1:10" x14ac:dyDescent="0.25">
      <c r="A9" s="7" t="s">
        <v>31</v>
      </c>
      <c r="B9" s="7" t="s">
        <v>32</v>
      </c>
      <c r="C9" s="8" t="s">
        <v>1</v>
      </c>
      <c r="D9" s="8" t="s">
        <v>33</v>
      </c>
      <c r="E9" s="9" t="s">
        <v>60</v>
      </c>
      <c r="F9" s="10">
        <v>637.20000000000005</v>
      </c>
      <c r="G9" s="11">
        <f>1/12</f>
        <v>8.3333333333333329E-2</v>
      </c>
      <c r="H9" s="1"/>
      <c r="I9" s="1"/>
      <c r="J9" s="1"/>
    </row>
    <row r="10" spans="1:10" x14ac:dyDescent="0.25">
      <c r="A10" s="12" t="s">
        <v>35</v>
      </c>
      <c r="B10" s="13"/>
      <c r="C10" s="13"/>
      <c r="D10" s="13"/>
      <c r="E10" s="13"/>
      <c r="F10" s="14">
        <f>SUM(F3:F9)</f>
        <v>4471.04</v>
      </c>
      <c r="G10" s="15">
        <f>SUM(G3:G9)</f>
        <v>1</v>
      </c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6"/>
      <c r="H11" s="1"/>
      <c r="I11" s="1"/>
      <c r="J11" s="1"/>
    </row>
    <row r="12" spans="1:10" ht="26.25" x14ac:dyDescent="0.25">
      <c r="A12" s="5" t="s">
        <v>36</v>
      </c>
      <c r="B12" s="5" t="s">
        <v>0</v>
      </c>
      <c r="C12" s="5" t="s">
        <v>30</v>
      </c>
      <c r="D12" s="17" t="s">
        <v>61</v>
      </c>
      <c r="E12" s="1"/>
      <c r="F12" s="1"/>
      <c r="G12" s="16"/>
      <c r="H12" s="1"/>
      <c r="I12" s="1"/>
    </row>
    <row r="13" spans="1:10" x14ac:dyDescent="0.25">
      <c r="A13" s="18" t="s">
        <v>37</v>
      </c>
      <c r="B13" s="19" t="s">
        <v>63</v>
      </c>
      <c r="C13" s="10">
        <v>160</v>
      </c>
      <c r="D13" s="20">
        <f>C13/$F$8*$G$8</f>
        <v>2.0953817785600532E-2</v>
      </c>
      <c r="E13" s="1"/>
      <c r="F13" s="1"/>
      <c r="G13" s="16"/>
      <c r="H13" s="1"/>
      <c r="I13" s="1"/>
    </row>
    <row r="14" spans="1:10" x14ac:dyDescent="0.25">
      <c r="A14" s="9" t="s">
        <v>38</v>
      </c>
      <c r="B14" s="21" t="s">
        <v>64</v>
      </c>
      <c r="C14" s="10">
        <v>118.99</v>
      </c>
      <c r="D14" s="20">
        <f t="shared" ref="D14:D17" si="0">C14/$F$8*$G$8</f>
        <v>1.5583092364428796E-2</v>
      </c>
      <c r="E14" s="1"/>
      <c r="F14" s="1"/>
      <c r="G14" s="16"/>
      <c r="H14" s="1"/>
      <c r="I14" s="1"/>
    </row>
    <row r="15" spans="1:10" x14ac:dyDescent="0.25">
      <c r="A15" s="9" t="s">
        <v>39</v>
      </c>
      <c r="B15" s="21" t="s">
        <v>65</v>
      </c>
      <c r="C15" s="10">
        <v>157.33000000000001</v>
      </c>
      <c r="D15" s="20">
        <f t="shared" si="0"/>
        <v>2.0604150951303326E-2</v>
      </c>
      <c r="E15" s="1"/>
      <c r="F15" s="1"/>
      <c r="G15" s="16"/>
      <c r="H15" s="1"/>
      <c r="I15" s="1"/>
    </row>
    <row r="16" spans="1:10" x14ac:dyDescent="0.25">
      <c r="A16" s="9" t="s">
        <v>40</v>
      </c>
      <c r="B16" s="21" t="s">
        <v>66</v>
      </c>
      <c r="C16" s="10">
        <v>40</v>
      </c>
      <c r="D16" s="20">
        <f t="shared" si="0"/>
        <v>5.238454446400133E-3</v>
      </c>
      <c r="E16" s="1"/>
      <c r="F16" s="1"/>
      <c r="G16" s="16"/>
      <c r="H16" s="1"/>
      <c r="I16" s="1"/>
    </row>
    <row r="17" spans="1:9" x14ac:dyDescent="0.25">
      <c r="A17" s="9" t="s">
        <v>41</v>
      </c>
      <c r="B17" s="21" t="s">
        <v>67</v>
      </c>
      <c r="C17" s="10">
        <v>160</v>
      </c>
      <c r="D17" s="20">
        <f t="shared" si="0"/>
        <v>2.0953817785600532E-2</v>
      </c>
      <c r="E17" s="1"/>
      <c r="F17" s="1"/>
      <c r="G17" s="16"/>
      <c r="H17" s="1"/>
      <c r="I17" s="1"/>
    </row>
    <row r="18" spans="1:9" x14ac:dyDescent="0.25">
      <c r="A18" s="9" t="s">
        <v>42</v>
      </c>
      <c r="B18" s="21" t="s">
        <v>68</v>
      </c>
      <c r="C18" s="10">
        <v>120</v>
      </c>
      <c r="D18" s="20">
        <f>C18/$F$9*$G$9</f>
        <v>1.5693659761456369E-2</v>
      </c>
      <c r="E18" s="1"/>
      <c r="F18" s="1"/>
      <c r="G18" s="16"/>
      <c r="H18" s="1"/>
      <c r="I18" s="1"/>
    </row>
    <row r="19" spans="1:9" x14ac:dyDescent="0.25">
      <c r="A19" s="9" t="s">
        <v>43</v>
      </c>
      <c r="B19" s="21" t="s">
        <v>69</v>
      </c>
      <c r="C19" s="10">
        <v>40</v>
      </c>
      <c r="D19" s="20">
        <f t="shared" ref="D19:D26" si="1">C19/$F$9*$G$9</f>
        <v>5.2312199204854557E-3</v>
      </c>
      <c r="E19" s="1"/>
      <c r="F19" s="1"/>
      <c r="G19" s="16"/>
      <c r="H19" s="1"/>
      <c r="I19" s="1"/>
    </row>
    <row r="20" spans="1:9" x14ac:dyDescent="0.25">
      <c r="A20" s="9" t="s">
        <v>44</v>
      </c>
      <c r="B20" s="21" t="s">
        <v>70</v>
      </c>
      <c r="C20" s="10">
        <v>40</v>
      </c>
      <c r="D20" s="20">
        <f t="shared" si="1"/>
        <v>5.2312199204854557E-3</v>
      </c>
      <c r="E20" s="1"/>
      <c r="F20" s="1"/>
      <c r="G20" s="16"/>
      <c r="H20" s="1"/>
      <c r="I20" s="1"/>
    </row>
    <row r="21" spans="1:9" x14ac:dyDescent="0.25">
      <c r="A21" s="9" t="s">
        <v>45</v>
      </c>
      <c r="B21" s="21" t="s">
        <v>71</v>
      </c>
      <c r="C21" s="10">
        <v>40</v>
      </c>
      <c r="D21" s="20">
        <f t="shared" si="1"/>
        <v>5.2312199204854557E-3</v>
      </c>
      <c r="E21" s="1"/>
      <c r="F21" s="1"/>
      <c r="G21" s="16"/>
      <c r="H21" s="1"/>
      <c r="I21" s="1"/>
    </row>
    <row r="22" spans="1:9" x14ac:dyDescent="0.25">
      <c r="A22" s="9" t="s">
        <v>46</v>
      </c>
      <c r="B22" s="21" t="s">
        <v>72</v>
      </c>
      <c r="C22" s="10">
        <v>40</v>
      </c>
      <c r="D22" s="20">
        <f t="shared" si="1"/>
        <v>5.2312199204854557E-3</v>
      </c>
      <c r="E22" s="1"/>
      <c r="F22" s="1"/>
      <c r="G22" s="16"/>
      <c r="H22" s="1"/>
      <c r="I22" s="1"/>
    </row>
    <row r="23" spans="1:9" x14ac:dyDescent="0.25">
      <c r="A23" s="9" t="s">
        <v>47</v>
      </c>
      <c r="B23" s="21" t="s">
        <v>73</v>
      </c>
      <c r="C23" s="10">
        <v>118.5</v>
      </c>
      <c r="D23" s="20">
        <f t="shared" si="1"/>
        <v>1.5497489014438166E-2</v>
      </c>
      <c r="E23" s="1"/>
      <c r="F23" s="1"/>
      <c r="G23" s="16"/>
      <c r="H23" s="1"/>
      <c r="I23" s="1"/>
    </row>
    <row r="24" spans="1:9" x14ac:dyDescent="0.25">
      <c r="A24" s="9" t="s">
        <v>48</v>
      </c>
      <c r="B24" s="21" t="s">
        <v>62</v>
      </c>
      <c r="C24" s="10">
        <v>78.7</v>
      </c>
      <c r="D24" s="20">
        <f t="shared" si="1"/>
        <v>1.0292425193555136E-2</v>
      </c>
      <c r="E24" s="1"/>
      <c r="F24" s="1"/>
      <c r="G24" s="16"/>
      <c r="H24" s="1"/>
      <c r="I24" s="1"/>
    </row>
    <row r="25" spans="1:9" x14ac:dyDescent="0.25">
      <c r="A25" s="9" t="s">
        <v>49</v>
      </c>
      <c r="B25" s="21" t="s">
        <v>74</v>
      </c>
      <c r="C25" s="10">
        <v>40</v>
      </c>
      <c r="D25" s="20">
        <f t="shared" si="1"/>
        <v>5.2312199204854557E-3</v>
      </c>
      <c r="E25" s="1"/>
      <c r="F25" s="1"/>
      <c r="G25" s="16"/>
      <c r="H25" s="1"/>
      <c r="I25" s="1"/>
    </row>
    <row r="26" spans="1:9" x14ac:dyDescent="0.25">
      <c r="A26" s="18" t="s">
        <v>50</v>
      </c>
      <c r="B26" s="21" t="s">
        <v>75</v>
      </c>
      <c r="C26" s="10">
        <v>120</v>
      </c>
      <c r="D26" s="20">
        <f t="shared" si="1"/>
        <v>1.5693659761456369E-2</v>
      </c>
      <c r="E26" s="1"/>
      <c r="F26" s="1"/>
      <c r="G26" s="16"/>
      <c r="H26" s="1"/>
      <c r="I26" s="1"/>
    </row>
    <row r="27" spans="1:9" x14ac:dyDescent="0.25">
      <c r="A27" s="9" t="s">
        <v>51</v>
      </c>
      <c r="B27" s="21" t="s">
        <v>76</v>
      </c>
      <c r="C27" s="10">
        <v>160</v>
      </c>
      <c r="D27" s="20">
        <f>C27/$F$6*$G$6</f>
        <v>4.1786803727382894E-2</v>
      </c>
      <c r="E27" s="1"/>
      <c r="F27" s="1"/>
      <c r="G27" s="16"/>
      <c r="H27" s="1"/>
      <c r="I27" s="1"/>
    </row>
    <row r="28" spans="1:9" x14ac:dyDescent="0.25">
      <c r="A28" s="9" t="s">
        <v>52</v>
      </c>
      <c r="B28" s="21" t="s">
        <v>77</v>
      </c>
      <c r="C28" s="10">
        <v>158.94</v>
      </c>
      <c r="D28" s="20">
        <f t="shared" ref="D28:D30" si="2">C28/$F$6*$G$6</f>
        <v>4.1509966152688982E-2</v>
      </c>
      <c r="E28" s="1"/>
      <c r="F28" s="1"/>
      <c r="G28" s="16"/>
      <c r="H28" s="1"/>
      <c r="I28" s="1"/>
    </row>
    <row r="29" spans="1:9" x14ac:dyDescent="0.25">
      <c r="A29" s="9" t="s">
        <v>53</v>
      </c>
      <c r="B29" s="21" t="s">
        <v>78</v>
      </c>
      <c r="C29" s="10">
        <v>159.22</v>
      </c>
      <c r="D29" s="20">
        <f t="shared" si="2"/>
        <v>4.1583093059211901E-2</v>
      </c>
      <c r="E29" s="1"/>
      <c r="F29" s="1"/>
      <c r="G29" s="16"/>
      <c r="H29" s="1"/>
      <c r="I29" s="1"/>
    </row>
    <row r="30" spans="1:9" x14ac:dyDescent="0.25">
      <c r="A30" s="18" t="s">
        <v>54</v>
      </c>
      <c r="B30" s="21" t="s">
        <v>79</v>
      </c>
      <c r="C30" s="10">
        <v>160</v>
      </c>
      <c r="D30" s="20">
        <f t="shared" si="2"/>
        <v>4.1786803727382894E-2</v>
      </c>
      <c r="E30" s="1"/>
      <c r="F30" s="1"/>
      <c r="G30" s="16"/>
      <c r="H30" s="1"/>
      <c r="I30" s="1"/>
    </row>
    <row r="31" spans="1:9" x14ac:dyDescent="0.25">
      <c r="A31" s="9" t="s">
        <v>55</v>
      </c>
      <c r="B31" s="21" t="s">
        <v>80</v>
      </c>
      <c r="C31" s="10">
        <v>159.52000000000001</v>
      </c>
      <c r="D31" s="20">
        <f>C31/$F$7*$G$7</f>
        <v>4.1583249916583249E-2</v>
      </c>
      <c r="E31" s="1"/>
      <c r="F31" s="1"/>
      <c r="G31" s="16"/>
      <c r="H31" s="1"/>
      <c r="I31" s="1"/>
    </row>
    <row r="32" spans="1:9" x14ac:dyDescent="0.25">
      <c r="A32" s="9" t="s">
        <v>56</v>
      </c>
      <c r="B32" s="21" t="s">
        <v>81</v>
      </c>
      <c r="C32" s="10">
        <v>160</v>
      </c>
      <c r="D32" s="20">
        <f t="shared" ref="D32:D34" si="3">C32/$F$7*$G$7</f>
        <v>4.1708375041708379E-2</v>
      </c>
      <c r="E32" s="1"/>
      <c r="F32" s="1"/>
      <c r="G32" s="16"/>
      <c r="H32" s="1"/>
      <c r="I32" s="1"/>
    </row>
    <row r="33" spans="1:10" x14ac:dyDescent="0.25">
      <c r="A33" s="9" t="s">
        <v>57</v>
      </c>
      <c r="B33" s="21" t="s">
        <v>82</v>
      </c>
      <c r="C33" s="10">
        <v>159.88</v>
      </c>
      <c r="D33" s="20">
        <f t="shared" si="3"/>
        <v>4.1677093760427088E-2</v>
      </c>
      <c r="E33" s="1"/>
      <c r="F33" s="1"/>
      <c r="G33" s="16"/>
      <c r="H33" s="1"/>
      <c r="I33" s="1"/>
    </row>
    <row r="34" spans="1:10" x14ac:dyDescent="0.25">
      <c r="A34" s="18" t="s">
        <v>58</v>
      </c>
      <c r="B34" s="21" t="s">
        <v>83</v>
      </c>
      <c r="C34" s="10">
        <v>159.96</v>
      </c>
      <c r="D34" s="20">
        <f t="shared" si="3"/>
        <v>4.1697947947947941E-2</v>
      </c>
      <c r="E34" s="1"/>
      <c r="F34" s="1"/>
      <c r="G34" s="16"/>
      <c r="H34" s="1"/>
      <c r="I34" s="1"/>
    </row>
    <row r="35" spans="1:10" x14ac:dyDescent="0.25">
      <c r="A35" s="9" t="s">
        <v>5</v>
      </c>
      <c r="B35" s="21" t="s">
        <v>14</v>
      </c>
      <c r="C35" s="10">
        <v>240</v>
      </c>
      <c r="D35" s="20">
        <f>C35/$F$3*$G$3</f>
        <v>6.25E-2</v>
      </c>
      <c r="E35" s="1"/>
      <c r="F35" s="1"/>
      <c r="G35" s="16"/>
      <c r="H35" s="1"/>
      <c r="I35" s="1"/>
    </row>
    <row r="36" spans="1:10" x14ac:dyDescent="0.25">
      <c r="A36" s="9" t="s">
        <v>3</v>
      </c>
      <c r="B36" s="21" t="s">
        <v>15</v>
      </c>
      <c r="C36" s="10">
        <v>40</v>
      </c>
      <c r="D36" s="20">
        <f t="shared" ref="D36:D38" si="4">C36/$F$3*$G$3</f>
        <v>1.0416666666666666E-2</v>
      </c>
      <c r="E36" s="1"/>
      <c r="F36" s="1"/>
      <c r="G36" s="16"/>
      <c r="H36" s="1"/>
      <c r="I36" s="1"/>
    </row>
    <row r="37" spans="1:10" x14ac:dyDescent="0.25">
      <c r="A37" s="9" t="s">
        <v>7</v>
      </c>
      <c r="B37" s="21" t="s">
        <v>16</v>
      </c>
      <c r="C37" s="10">
        <v>120</v>
      </c>
      <c r="D37" s="20">
        <f t="shared" si="4"/>
        <v>3.125E-2</v>
      </c>
      <c r="E37" s="1"/>
      <c r="F37" s="1"/>
      <c r="G37" s="16"/>
      <c r="H37" s="1"/>
      <c r="I37" s="1"/>
    </row>
    <row r="38" spans="1:10" x14ac:dyDescent="0.25">
      <c r="A38" s="18" t="s">
        <v>2</v>
      </c>
      <c r="B38" s="21" t="s">
        <v>17</v>
      </c>
      <c r="C38" s="10">
        <v>240</v>
      </c>
      <c r="D38" s="20">
        <f t="shared" si="4"/>
        <v>6.25E-2</v>
      </c>
      <c r="E38" s="1"/>
      <c r="F38" s="1"/>
      <c r="G38" s="16"/>
      <c r="H38" s="1"/>
      <c r="I38" s="1"/>
    </row>
    <row r="39" spans="1:10" x14ac:dyDescent="0.25">
      <c r="A39" s="9" t="s">
        <v>6</v>
      </c>
      <c r="B39" s="21" t="s">
        <v>18</v>
      </c>
      <c r="C39" s="10">
        <v>320</v>
      </c>
      <c r="D39" s="20">
        <f>C39/$F$4*$G$4</f>
        <v>8.3333333333333329E-2</v>
      </c>
      <c r="E39" s="1"/>
      <c r="F39" s="1"/>
      <c r="G39" s="16"/>
      <c r="H39" s="1"/>
      <c r="I39" s="1"/>
    </row>
    <row r="40" spans="1:10" x14ac:dyDescent="0.25">
      <c r="A40" s="9" t="s">
        <v>1</v>
      </c>
      <c r="B40" s="21" t="s">
        <v>19</v>
      </c>
      <c r="C40" s="10">
        <v>160</v>
      </c>
      <c r="D40" s="20">
        <f t="shared" ref="D40:D41" si="5">C40/$F$4*$G$4</f>
        <v>4.1666666666666664E-2</v>
      </c>
      <c r="E40" s="1"/>
      <c r="F40" s="1"/>
      <c r="G40" s="16"/>
      <c r="H40" s="1"/>
      <c r="I40" s="1"/>
    </row>
    <row r="41" spans="1:10" x14ac:dyDescent="0.25">
      <c r="A41" s="9" t="s">
        <v>4</v>
      </c>
      <c r="B41" s="21" t="s">
        <v>20</v>
      </c>
      <c r="C41" s="10">
        <v>160</v>
      </c>
      <c r="D41" s="20">
        <f t="shared" si="5"/>
        <v>4.1666666666666664E-2</v>
      </c>
      <c r="E41" s="1"/>
      <c r="F41" s="1"/>
      <c r="G41" s="16"/>
      <c r="H41" s="1"/>
      <c r="I41" s="1"/>
    </row>
    <row r="42" spans="1:10" x14ac:dyDescent="0.25">
      <c r="A42" s="9" t="s">
        <v>8</v>
      </c>
      <c r="B42" s="21" t="s">
        <v>22</v>
      </c>
      <c r="C42" s="10">
        <v>480</v>
      </c>
      <c r="D42" s="20">
        <f>C42/$F$5*$G$5</f>
        <v>0.125</v>
      </c>
      <c r="E42" s="1"/>
      <c r="F42" s="1"/>
      <c r="G42" s="16"/>
      <c r="H42" s="1"/>
      <c r="I42" s="1"/>
    </row>
    <row r="43" spans="1:10" x14ac:dyDescent="0.25">
      <c r="A43" s="18" t="s">
        <v>21</v>
      </c>
      <c r="B43" s="21" t="s">
        <v>23</v>
      </c>
      <c r="C43" s="10">
        <v>160</v>
      </c>
      <c r="D43" s="20">
        <f>C43/$F$5*$G$5</f>
        <v>4.1666666666666664E-2</v>
      </c>
      <c r="E43" s="1"/>
      <c r="F43" s="1"/>
      <c r="G43" s="16"/>
      <c r="H43" s="1"/>
      <c r="I43" s="1"/>
    </row>
    <row r="44" spans="1:10" x14ac:dyDescent="0.25">
      <c r="A44" s="12" t="s">
        <v>35</v>
      </c>
      <c r="B44" s="22"/>
      <c r="C44" s="23">
        <f>SUM(C13:C43)</f>
        <v>4471.0400000000009</v>
      </c>
      <c r="D44" s="24">
        <f>SUM(D13:D43)</f>
        <v>0.99999999999999989</v>
      </c>
      <c r="E44" s="2"/>
      <c r="F44" s="1"/>
      <c r="G44" s="16"/>
      <c r="H44" s="1"/>
      <c r="I44" s="1"/>
      <c r="J44" s="1"/>
    </row>
  </sheetData>
  <mergeCells count="1">
    <mergeCell ref="A1:G1"/>
  </mergeCells>
  <printOptions horizontalCentered="1"/>
  <pageMargins left="0.25" right="0.25" top="0.75" bottom="0.75" header="0.3" footer="0.3"/>
  <pageSetup fitToHeight="0" orientation="portrait"/>
  <headerFooter scaleWithDoc="0">
    <oddHeader>&amp;C&amp;"Times New Roman,Bold"&amp;11 Schedule 1: Tract List</oddHeader>
    <oddFooter>&amp;C&amp;"Times New Roman"&amp;10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A073DA-CB1E-4F62-B9BE-CB1F568D40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Oxford</dc:creator>
  <cp:lastModifiedBy>Russell Oxford</cp:lastModifiedBy>
  <dcterms:created xsi:type="dcterms:W3CDTF">2025-11-26T23:54:41Z</dcterms:created>
  <dcterms:modified xsi:type="dcterms:W3CDTF">2025-12-03T20:06:21Z</dcterms:modified>
</cp:coreProperties>
</file>