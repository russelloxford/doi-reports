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uiperlawfirmcom.sharepoint.com/Public/Clients/Hess Corporation/Lemire - Barb/Review/DOIS/"/>
    </mc:Choice>
  </mc:AlternateContent>
  <xr:revisionPtr revIDLastSave="1" documentId="8_{70F4335E-D909-489E-B295-01E71701C220}" xr6:coauthVersionLast="47" xr6:coauthVersionMax="47" xr10:uidLastSave="{BCB9CE91-789A-4127-8D22-6224DF27CA26}"/>
  <bookViews>
    <workbookView xWindow="19095" yWindow="0" windowWidth="19410" windowHeight="20985" xr2:uid="{00000000-000D-0000-FFFF-FFFF00000000}"/>
  </bookViews>
  <sheets>
    <sheet name="Tract List" sheetId="1" r:id="rId1"/>
    <sheet name="LORI" sheetId="2" r:id="rId2"/>
    <sheet name="NPRI" sheetId="3" r:id="rId3"/>
    <sheet name="ORI" sheetId="4" r:id="rId4"/>
    <sheet name="WI" sheetId="5" r:id="rId5"/>
    <sheet name="Unit Recap" sheetId="6" r:id="rId6"/>
  </sheets>
  <definedNames>
    <definedName name="_xlnm.Print_Titles" localSheetId="1">LORI!$1:$1</definedName>
    <definedName name="_xlnm.Print_Titles" localSheetId="2">NPRI!$1:$1</definedName>
    <definedName name="_xlnm.Print_Titles" localSheetId="3">ORI!$1:$1</definedName>
    <definedName name="_xlnm.Print_Titles" localSheetId="4">WI!$1:$1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G7" i="1"/>
  <c r="F7" i="1"/>
</calcChain>
</file>

<file path=xl/sharedStrings.xml><?xml version="1.0" encoding="utf-8"?>
<sst xmlns="http://schemas.openxmlformats.org/spreadsheetml/2006/main" count="3459" uniqueCount="334">
  <si>
    <t>LANDS</t>
  </si>
  <si>
    <t>State</t>
  </si>
  <si>
    <t>County</t>
  </si>
  <si>
    <t>Section</t>
  </si>
  <si>
    <t>Township</t>
  </si>
  <si>
    <t>Range</t>
  </si>
  <si>
    <t>Acres</t>
  </si>
  <si>
    <t>North Dakota</t>
  </si>
  <si>
    <t>Williams</t>
  </si>
  <si>
    <t>13</t>
  </si>
  <si>
    <t>157N</t>
  </si>
  <si>
    <t>97W</t>
  </si>
  <si>
    <t>24</t>
  </si>
  <si>
    <t>25</t>
  </si>
  <si>
    <t>36</t>
  </si>
  <si>
    <t>TOTAL UNIT ACRES</t>
  </si>
  <si>
    <t>Tract</t>
  </si>
  <si>
    <t>Legal Description</t>
  </si>
  <si>
    <t>Tract Allocation</t>
  </si>
  <si>
    <t>1</t>
  </si>
  <si>
    <t>Section 13: A m&amp;b tract in the NW/4</t>
  </si>
  <si>
    <t>2</t>
  </si>
  <si>
    <t>Section 13: N/2 less and except a m&amp;b tract in the NW/4</t>
  </si>
  <si>
    <t>3</t>
  </si>
  <si>
    <t>Section 13: N/2 SW/4, SE/4</t>
  </si>
  <si>
    <t>4</t>
  </si>
  <si>
    <t>Section 13: S/2 SW/4</t>
  </si>
  <si>
    <t>14</t>
  </si>
  <si>
    <t>Section 24: NE/4, E/2NW/4</t>
  </si>
  <si>
    <t>15</t>
  </si>
  <si>
    <t>Section 24: NW/4NW/4</t>
  </si>
  <si>
    <t>16</t>
  </si>
  <si>
    <t>Section 24: SW/4NW/4, N/2SW/4</t>
  </si>
  <si>
    <t>17</t>
  </si>
  <si>
    <t>Section 24: SE/4, S/2SW/4</t>
  </si>
  <si>
    <t>18</t>
  </si>
  <si>
    <t>Section 25: N/2</t>
  </si>
  <si>
    <t>19</t>
  </si>
  <si>
    <t>Section 25: SW/4</t>
  </si>
  <si>
    <t>20</t>
  </si>
  <si>
    <t>Section 25: SE/4</t>
  </si>
  <si>
    <t>28</t>
  </si>
  <si>
    <t>Section 36: S/2, NE/4</t>
  </si>
  <si>
    <t>29</t>
  </si>
  <si>
    <t>Section 36: NW/4</t>
  </si>
  <si>
    <t>TRACT</t>
  </si>
  <si>
    <t>LEASE NO.</t>
  </si>
  <si>
    <t>REQ</t>
  </si>
  <si>
    <t>MI</t>
  </si>
  <si>
    <t>x</t>
  </si>
  <si>
    <t>LORI</t>
  </si>
  <si>
    <t>-</t>
  </si>
  <si>
    <t>NPRI</t>
  </si>
  <si>
    <t>=</t>
  </si>
  <si>
    <t>TRACT NRI</t>
  </si>
  <si>
    <t>NET ACRES</t>
  </si>
  <si>
    <t>UNIT NRI</t>
  </si>
  <si>
    <t>Owner Name:</t>
  </si>
  <si>
    <t>AllDale Minerals II, LP</t>
  </si>
  <si>
    <t>2100 Ross Ave., Ste. 1870, LB-9, Dallas, TX 75201</t>
  </si>
  <si>
    <t>21</t>
  </si>
  <si>
    <t>TOTAL</t>
  </si>
  <si>
    <t>Allen Long</t>
  </si>
  <si>
    <t>5390 123rd Avenue NW, Epping, ND 58843</t>
  </si>
  <si>
    <t>Arden D. Solberg Family Mineral Trust dated November 4, 2015, Charlene Shroyer, Trustee</t>
  </si>
  <si>
    <t>2310 13th Ave. West, Williston, ND 58801</t>
  </si>
  <si>
    <t>L18</t>
  </si>
  <si>
    <t>Barbara A. Knox, life estate, remainder to Jennifer Fettig</t>
  </si>
  <si>
    <t>Address not found</t>
  </si>
  <si>
    <t>Benjamin Elliott</t>
  </si>
  <si>
    <t>14600 NW 98th Street, Raymond, NE 68428</t>
  </si>
  <si>
    <t>Beth M. Simpson</t>
  </si>
  <si>
    <t>5660 Caney Ridge Circle, Ooltewah, TN 37363</t>
  </si>
  <si>
    <t>10</t>
  </si>
  <si>
    <t>PO4</t>
  </si>
  <si>
    <t>Bole Resources, LLC</t>
  </si>
  <si>
    <t>22</t>
  </si>
  <si>
    <t>Brandi Severson</t>
  </si>
  <si>
    <t>612 10th Ave. SE, Waseca, MN 56093</t>
  </si>
  <si>
    <t>Brantley Family Trust dated June 27, 2002, Loretta J. Brantley, Trustee</t>
  </si>
  <si>
    <t>690 Westgate St., Pasadena, CA 91103</t>
  </si>
  <si>
    <t>Brooks Energy, Inc.</t>
  </si>
  <si>
    <t>1533 Creekside Drive W, Williston, ND 58801</t>
  </si>
  <si>
    <t>CJC Energy, Inc.</t>
  </si>
  <si>
    <t>1902 16th Court W, Williston, ND 58801</t>
  </si>
  <si>
    <t>Carol E. Anderson</t>
  </si>
  <si>
    <t>P.O. Box 66, Ray, ND 58849</t>
  </si>
  <si>
    <t>5</t>
  </si>
  <si>
    <t>6</t>
  </si>
  <si>
    <t>Carol E. Anderson a/k/a Carol Eileen Anderson, Life Estate, remainder to Ronald D. Anderson</t>
  </si>
  <si>
    <t>1, 2</t>
  </si>
  <si>
    <t>Charlene M. Shroyer</t>
  </si>
  <si>
    <t>L17</t>
  </si>
  <si>
    <t>Coit Energy, LLC</t>
  </si>
  <si>
    <t>Daniel L. Kutnink</t>
  </si>
  <si>
    <t>3591 250th Street, Farmington, MN 55024</t>
  </si>
  <si>
    <t>Darla J. Gilbertson</t>
  </si>
  <si>
    <t>26009 422nd Street, Brownsville, MN 56438-4466</t>
  </si>
  <si>
    <t>David Holland</t>
  </si>
  <si>
    <t>304 Hallam, Erlanger, KY 41018</t>
  </si>
  <si>
    <t>Deneille K. Soine a/k/a Deneille Soine and Noble V. Soine a/k/a Noble Soine, wife and husband, as joint tenants</t>
  </si>
  <si>
    <t>Don LeRoy Pederson, life estate
Remainder:
Kristine Hanson (1/3)
Jeremy Pederson (1/3)
Jenell Sibbald (1/3)</t>
  </si>
  <si>
    <t>6721 115th Avenue NW, Ray, ND 58849</t>
  </si>
  <si>
    <t>4, 5</t>
  </si>
  <si>
    <t>Eldon R. Holland</t>
  </si>
  <si>
    <t>17401 SE 39th St., #31, Vancouver, WA 98683</t>
  </si>
  <si>
    <t>9</t>
  </si>
  <si>
    <t>Empire Oil Company</t>
  </si>
  <si>
    <t>PO Box 1835, Williston, ND 58806-1835</t>
  </si>
  <si>
    <t>23</t>
  </si>
  <si>
    <t>Garold A. Kutnink</t>
  </si>
  <si>
    <t>240 5th Street East, Apt. #608, St. Paul, MN 55101</t>
  </si>
  <si>
    <t>Helen Ringstad</t>
  </si>
  <si>
    <t>540 G Street, Box 251, Eagle, NE 68347</t>
  </si>
  <si>
    <t>James Gifford Rogers</t>
  </si>
  <si>
    <t>Avenue Louise 248/21, Brussels, Belgium 1050</t>
  </si>
  <si>
    <t>James H. Feldman Revocable Trust dated 4/19/04 , James H. Feldman and Maralee M. Feldman, Trustees</t>
  </si>
  <si>
    <t>1-3</t>
  </si>
  <si>
    <t>James H. Feldman Revocable Trust dated April 19, 2004, James H. Feldman and Maralee M. Feldman, Trustees</t>
  </si>
  <si>
    <t>10993 Stanton Blvd., Northfield, MN 55057</t>
  </si>
  <si>
    <t>James V. Holland Trust, William Holland, Trustee</t>
  </si>
  <si>
    <t>8</t>
  </si>
  <si>
    <t>Jana M. Kutnink</t>
  </si>
  <si>
    <t>3671 250th Street, Farmington, MN 55024</t>
  </si>
  <si>
    <t>Jeffrey Klatt</t>
  </si>
  <si>
    <t>PL3</t>
  </si>
  <si>
    <t>11</t>
  </si>
  <si>
    <t>Jones Living Trust dated May 23, 1996, Robert E. Jones and Darlene L. Jones, Co-Trustees</t>
  </si>
  <si>
    <t>11 Palm Ave., Napa, CA 94558</t>
  </si>
  <si>
    <t>Julie A. Kutnink</t>
  </si>
  <si>
    <t>12905 Washburn Court, Burnsville, MN 55337-1983</t>
  </si>
  <si>
    <t>KT Energy, Inc.</t>
  </si>
  <si>
    <t>Kelly Resources, LLC</t>
  </si>
  <si>
    <t>Kevin Long</t>
  </si>
  <si>
    <t>Box 292, Glenburn, ND 58740-0292</t>
  </si>
  <si>
    <t>Laura Faye Warneke</t>
  </si>
  <si>
    <t>502 Christina West, Hilger, MT 59451</t>
  </si>
  <si>
    <t>12</t>
  </si>
  <si>
    <t>Lee A. Waldon and Marian E. Waldon Revocable Trust dated October 8, 2008, Lee A. Waldon and Marian E. Waldon, Trustees</t>
  </si>
  <si>
    <t>103 Douglas Drive, Buffalo, MN 55313</t>
  </si>
  <si>
    <t>6, 7</t>
  </si>
  <si>
    <t>Leer Resources, Inc.</t>
  </si>
  <si>
    <t>Louis T. Hagen III a/k/a Louis Hagen</t>
  </si>
  <si>
    <t>MEL Energy, Inc.</t>
  </si>
  <si>
    <t>Maralee M. Feldman Revocable Trust dated 4/19/04, Maralee M. Feldman and James H. Feldman, Trustees</t>
  </si>
  <si>
    <t>Maralee M. Feldman Revocable Trust dated April 19, 2004, Maralee M. Feldman and James H. Feldman, Trustees</t>
  </si>
  <si>
    <t>Marlene Donnelly</t>
  </si>
  <si>
    <t>P.O. Box 373, Ray, ND 58849</t>
  </si>
  <si>
    <t>Mary Ellen Matchette</t>
  </si>
  <si>
    <t>8616 SW 103rd Ave., Miami, FL 33173</t>
  </si>
  <si>
    <t>Mary Lou Radant</t>
  </si>
  <si>
    <t>661 Flowerwood Drive, SE, Palm Bay, FL 32909</t>
  </si>
  <si>
    <t>Merle and Madalyn Helland Revocable Living Trust dated October 17, 2024, First State Bank &amp; Trust, Trustee</t>
  </si>
  <si>
    <t>P.O. Box 1827, Williston, ND 58802</t>
  </si>
  <si>
    <t>Mesa Royalties IV Holdings, LLC</t>
  </si>
  <si>
    <t>P.O. Box 55285, Houston, TX 77255</t>
  </si>
  <si>
    <t>Misty Johnson</t>
  </si>
  <si>
    <t>153 6th Street, Gardner, ND 58035</t>
  </si>
  <si>
    <t>Nancy Elliott</t>
  </si>
  <si>
    <t>63 West Street, Greenwood, NE 68366</t>
  </si>
  <si>
    <t>Outdoor Entourage, Inc.</t>
  </si>
  <si>
    <t>912 Alberta Ave., Bismarck, ND 58503</t>
  </si>
  <si>
    <t>Overland Energy Partners V, LLC</t>
  </si>
  <si>
    <t>Overland Mineral Holdings III, LLC</t>
  </si>
  <si>
    <t>44 Cook Street, Suite 650, Denver, CO 80206</t>
  </si>
  <si>
    <t>Pamela R. Steinberger aka Pamela R. Lemire</t>
  </si>
  <si>
    <t>Pledge Resources, LLC</t>
  </si>
  <si>
    <t>2101 Cedar Springs Road, Suite 600, Dallas, TX 75201</t>
  </si>
  <si>
    <t>R. A. A., LLC</t>
  </si>
  <si>
    <t>R.A.A., LLC</t>
  </si>
  <si>
    <t>Raychelle Brown</t>
  </si>
  <si>
    <t>860 W. 132nd Avenue, Sp. 166, Westminster, CO 80234</t>
  </si>
  <si>
    <t>Rickie J. Knox</t>
  </si>
  <si>
    <t>Robert E. Jones</t>
  </si>
  <si>
    <t>PL1</t>
  </si>
  <si>
    <t>PO5, PO8, 18</t>
  </si>
  <si>
    <t>Ronald D. Anderson and Charla Ann Anderson Family Mineral Trust, Ronald D. Anderson and Charlie Duane Anderson, Co-Trustees</t>
  </si>
  <si>
    <t>2, 4</t>
  </si>
  <si>
    <t>STTX, LLC</t>
  </si>
  <si>
    <t>5949 Sherry Lane, Suite 960, Dallas, TX 75225</t>
  </si>
  <si>
    <t>Shaylie Aker</t>
  </si>
  <si>
    <t>104 E. 107th Avenue, Northglenn, CO 80233</t>
  </si>
  <si>
    <t>Shelley F. MacDonald</t>
  </si>
  <si>
    <t>312 4th Avenue South, St. Paul, MN 55075</t>
  </si>
  <si>
    <t>Shirley M. Lang, life estate, remainder to Anthony Lee Lang, Steven Michael Lang, and Scott Joseph Lang</t>
  </si>
  <si>
    <t>Silverfish Energy LLC</t>
  </si>
  <si>
    <t>25 Highland Park Village, Suite 100-766, Dallas, TX 75205</t>
  </si>
  <si>
    <t>Silverwood Partners LP</t>
  </si>
  <si>
    <t>401 North Carolina, Suite 421, Southlake, TX 76092</t>
  </si>
  <si>
    <t>Source Minerals, LLC</t>
  </si>
  <si>
    <t>Susan Lynn Pederson</t>
  </si>
  <si>
    <t>705 70th Street East, Williston, ND 58801</t>
  </si>
  <si>
    <t>4, 6</t>
  </si>
  <si>
    <t>The Donna L. Lemire Trust, U.W. dated January 5, 1996, John S. Steinberger, Jr. and Cheryl Keniston, Co-Trustees</t>
  </si>
  <si>
    <t>22114 Hoskins Road, Caldwell, ID 83607</t>
  </si>
  <si>
    <t>The James H. Feldman Revocable Trust, James H. Feldman and Maralee M. Feldman, Trustees</t>
  </si>
  <si>
    <t>10993 Stanton Boulevard, Northfield, MN 55057</t>
  </si>
  <si>
    <t>The James V. Holland Trust, William Holland, Trustee</t>
  </si>
  <si>
    <t>The Lee A. Waldon and Marian E. Waldon Revocable Trust, Lee A. Waldon and Marian E. Waldon, Trustees</t>
  </si>
  <si>
    <t>9, 10</t>
  </si>
  <si>
    <t>The Maralee M. Feldman Revocable Trust, Maralee M. Feldman, Trustee</t>
  </si>
  <si>
    <t>The Ronald D. Anderson and Charla Ann Anderson Family Mineral Trust, Ronald D. Anderson and Charlie Duane Anderson, Co-Trustees</t>
  </si>
  <si>
    <t>Thomas Hagen Rogers</t>
  </si>
  <si>
    <t>507 3rd Avenue East, Ada, MN 56510</t>
  </si>
  <si>
    <t>Tom Holland</t>
  </si>
  <si>
    <t>135 Amber Way, Williamsburg, OH 45176</t>
  </si>
  <si>
    <t>Vernon E. Jones</t>
  </si>
  <si>
    <t>PL2</t>
  </si>
  <si>
    <t>Whitefish Energy Partners, LP</t>
  </si>
  <si>
    <t>William Harry Lemire</t>
  </si>
  <si>
    <t>#17 County Road 5267, Farmington, NM 87401</t>
  </si>
  <si>
    <t>INTEREST BURDENED</t>
  </si>
  <si>
    <t>SHARE OF NPRI</t>
  </si>
  <si>
    <t>C-B Holdings Northwest Revocable Trust, Catherine A. Westergaard, Trustee</t>
  </si>
  <si>
    <t>Address:</t>
  </si>
  <si>
    <t>11056 35th Avenue NE, Seattle, WA 98125</t>
  </si>
  <si>
    <t>17, 18</t>
  </si>
  <si>
    <t>Forestwood Holdings Northwest Revocable Trust, Frederick Alan Westergaard, Trustee</t>
  </si>
  <si>
    <t>370 NE Camano Drive, 5-222, Camano Island, WA 98282</t>
  </si>
  <si>
    <t>Woodfield International Holdings Revocable Trust, Jon R. Westergaard, Trustee</t>
  </si>
  <si>
    <t>5179 Woodfield Drive, Centreville, VA 20120</t>
  </si>
  <si>
    <t>ORI</t>
  </si>
  <si>
    <t>SHARE OF ORI</t>
  </si>
  <si>
    <t>ACRES BURDENED</t>
  </si>
  <si>
    <t>Ann Marie Urban</t>
  </si>
  <si>
    <t>5232 West Capri Place, Littleton, CO 80123</t>
  </si>
  <si>
    <t>11-14</t>
  </si>
  <si>
    <t>1-5, 14, 16</t>
  </si>
  <si>
    <t>12, 23</t>
  </si>
  <si>
    <t>1, 2, 4</t>
  </si>
  <si>
    <t>3, 5</t>
  </si>
  <si>
    <t>Anthony LLC</t>
  </si>
  <si>
    <t>21 Dowd Court, Kimball, NE 69145</t>
  </si>
  <si>
    <t>Brian Olson</t>
  </si>
  <si>
    <t>624 Pearl Street, Apt. 302, Boulder, CO 80302-5072</t>
  </si>
  <si>
    <t>17-22</t>
  </si>
  <si>
    <t>Carter Stewart</t>
  </si>
  <si>
    <t>710 Grand Ave., Ste. 7, Billings, MT 59101</t>
  </si>
  <si>
    <t>8-11, 19</t>
  </si>
  <si>
    <t>Continental Resources, Inc.</t>
  </si>
  <si>
    <t>Daniel W. Bean</t>
  </si>
  <si>
    <t>11908 S. Foxton Road, Conifer, CO  80433</t>
  </si>
  <si>
    <t>18, 19</t>
  </si>
  <si>
    <t>Daniel W. Bean, a partnership</t>
  </si>
  <si>
    <t>Diane Lynn Koerner Trust, Hal B. Koerner, Jr. and Diane Lynn Koerner, Co-Trustees</t>
  </si>
  <si>
    <t>Eagle Pass Properties, LLC</t>
  </si>
  <si>
    <t>Ecliptic Energy, LLC</t>
  </si>
  <si>
    <t>1250 S. Buckley Road, Suite I-198, Aurora, CO 80017</t>
  </si>
  <si>
    <t>Eric L. Root and Jacqueline S. Root, as joint tenants</t>
  </si>
  <si>
    <t>3943 S. Newport Way, Denver, CO 80237</t>
  </si>
  <si>
    <t>Everston Holdings LLC</t>
  </si>
  <si>
    <t>P.O. Box 397, Kimball, NE 69145</t>
  </si>
  <si>
    <t>Everston Investment Partnership LLC</t>
  </si>
  <si>
    <t>Evertson Holdings LLC</t>
  </si>
  <si>
    <t>Falcon Petroleum, LLC</t>
  </si>
  <si>
    <t>Gary C. Stewart</t>
  </si>
  <si>
    <t>Green Wing Royalty, LLC</t>
  </si>
  <si>
    <t>P.O. Box 597, Bismarck, ND 58502</t>
  </si>
  <si>
    <t>Gros Venture, LLC</t>
  </si>
  <si>
    <t>1675 Broadway, Suite 2800, Denver, CO 80202</t>
  </si>
  <si>
    <t>PO12</t>
  </si>
  <si>
    <t>Hal B. Koerner, Jr. Trust, Hal B. Koerner, Jr. and Diane Lynn Koerner, Co-Trustees</t>
  </si>
  <si>
    <t>6811 Hillridge Place, Parker, CO 80134</t>
  </si>
  <si>
    <t>JAG Oil Company Limited Partnership</t>
  </si>
  <si>
    <t>P.O. Box 4190, Scottsdale, AZ 80127</t>
  </si>
  <si>
    <t>JAG Oil Limited Partnership</t>
  </si>
  <si>
    <t>JRB Investments, LLC</t>
  </si>
  <si>
    <t>1040 12th Street East, Dickinson, ND 58601</t>
  </si>
  <si>
    <t>James C. Druyff Trust dated May 25, 2006, James C. Druyff, Trustee</t>
  </si>
  <si>
    <t>9251 E. Jewell Circle, Denver, CO 80231</t>
  </si>
  <si>
    <t>James P. Oursland and Susan P. Oursland, as joint tenants</t>
  </si>
  <si>
    <t>Kauffman Land &amp; Development, LLC</t>
  </si>
  <si>
    <t>Kidder Investments, LLC</t>
  </si>
  <si>
    <t>9457 S. University #519, Highlands Ranch,  CO 80126</t>
  </si>
  <si>
    <t>LPI Holdings, LLC</t>
  </si>
  <si>
    <t>Lorraine Druyff Trust dated May 25, 2006, James C. Druyff, Trustee</t>
  </si>
  <si>
    <t>Lynea Olson</t>
  </si>
  <si>
    <t>MBI Overrides, LLC</t>
  </si>
  <si>
    <t>P.O. Box 7, Belfield, ND 58622</t>
  </si>
  <si>
    <t>Marguerite K. Timbel</t>
  </si>
  <si>
    <t>Missouri River Royalty Corporation</t>
  </si>
  <si>
    <t>918 E. Divide Avenue, Bismarck, ND 58501</t>
  </si>
  <si>
    <t>Ned R. Timbel</t>
  </si>
  <si>
    <t>6500 West Mansfield Ave., #19, Denver, CO 80235</t>
  </si>
  <si>
    <t>Noble Royalty Access Fund 12 LP</t>
  </si>
  <si>
    <t>15601 North Dallas Parkway, Ste. 900, Addison, TX 75001</t>
  </si>
  <si>
    <t>Noble Royalty Access Fund 13 LP</t>
  </si>
  <si>
    <t>Noble Royalty Access Fund XI LP</t>
  </si>
  <si>
    <t>Northern Energy Corporation</t>
  </si>
  <si>
    <t>PO Box 2283, Bismark, ND 58502-2283</t>
  </si>
  <si>
    <t>Paris Land Company, LLC</t>
  </si>
  <si>
    <t>Rose Exploration, Inc.</t>
  </si>
  <si>
    <t>S &amp; E Royalty, LLC</t>
  </si>
  <si>
    <t>8470 West 4th Avenue, Lakewood, CO 80226</t>
  </si>
  <si>
    <t>S&amp;E Royalty, LLC</t>
  </si>
  <si>
    <t>Scott L. Hajicek and Marilyn S. Hajicek, as joint tenants</t>
  </si>
  <si>
    <t>Silver Hill III Bakken E&amp;P, LLC</t>
  </si>
  <si>
    <t>2850 N. Harwood Street, Suite 1600, Dallas, TX 75201</t>
  </si>
  <si>
    <t>Silver Hill IV Bakken E&amp;P, LLC</t>
  </si>
  <si>
    <t>The Diane Lynn Koerner Trust, Hal B. Koerner, Jr. and Diane Lynn Koerner, as Co-Trustees</t>
  </si>
  <si>
    <t>The Hal B. Koerner, Jr. Trust, Hal B. Koerner, Jr. and Diane Lynn Koerner, Co-Trustees</t>
  </si>
  <si>
    <t>The Insightful Revocable Trust, Phillip A. Kritz, Trustee</t>
  </si>
  <si>
    <t>The Insightful Revocable Trust, Phillip A. Kriz, Trustee</t>
  </si>
  <si>
    <t>The James C. Druyff Trust, James C. Druyff, Trustee</t>
  </si>
  <si>
    <t>The Lorraine Druyff Trust, James C. Druyff, Trustee</t>
  </si>
  <si>
    <t>Tim E. Macke</t>
  </si>
  <si>
    <t>5715 Majestic Oak Way, Parker, CO 80134</t>
  </si>
  <si>
    <t>WTS Investments, LLLP</t>
  </si>
  <si>
    <t>WI</t>
  </si>
  <si>
    <t>ORI BURDENS</t>
  </si>
  <si>
    <t>WI (TRACT)</t>
  </si>
  <si>
    <t>GREP William LLC</t>
  </si>
  <si>
    <t>2911 Turtle Creek Blvd., Suite 1150, Dallas, TX  75219</t>
  </si>
  <si>
    <t>GREP Wolverine LLC</t>
  </si>
  <si>
    <t>Granite Ridge Holdings, LLC</t>
  </si>
  <si>
    <t>5217 McKinney Avenue, Suite 400, Dallas, TX 75205</t>
  </si>
  <si>
    <t>1-6</t>
  </si>
  <si>
    <t>18, 20</t>
  </si>
  <si>
    <t>18, 20, 27</t>
  </si>
  <si>
    <t>Halliburton Energy Services, Inc.</t>
  </si>
  <si>
    <t>3000 N. Sam Houston Parkway E., Houston, TX 77032</t>
  </si>
  <si>
    <t>Hess Bakken Investments II, LLC</t>
  </si>
  <si>
    <t>1501 McKinney Street, Houston, TX 77010</t>
  </si>
  <si>
    <t>Incline Bakken II, LLC</t>
  </si>
  <si>
    <t>North Plains Energy, LLC</t>
  </si>
  <si>
    <t>1888 Sherman Street, Suite 375, Denver, CO 80203</t>
  </si>
  <si>
    <t>Northern Oil and Gas, Inc.</t>
  </si>
  <si>
    <t>LORI NRI</t>
  </si>
  <si>
    <t>NPRI NRI</t>
  </si>
  <si>
    <t>ORI NRI</t>
  </si>
  <si>
    <t>WI NRI</t>
  </si>
  <si>
    <t>TOTAL NRI</t>
  </si>
  <si>
    <t>UNIT NRI TOTAL</t>
  </si>
  <si>
    <t>Allocation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</si>
</sst>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0"/>
  </numFmts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2" fillId="3" borderId="3" xfId="0" applyFont="1" applyFill="1" applyBorder="1"/>
    <xf numFmtId="0" fontId="2" fillId="0" borderId="1" xfId="0" applyFont="1" applyBorder="1" applyAlignment="1">
      <alignment horizontal="center"/>
    </xf>
    <xf numFmtId="49" fontId="2" fillId="0" borderId="5" xfId="0" applyNumberFormat="1" applyFont="1" applyBorder="1" applyAlignment="1">
      <alignment horizontal="left" wrapText="1"/>
    </xf>
    <xf numFmtId="166" fontId="2" fillId="4" borderId="1" xfId="0" applyNumberFormat="1" applyFont="1" applyFill="1" applyBorder="1" applyAlignment="1">
      <alignment horizontal="right"/>
    </xf>
    <xf numFmtId="49" fontId="2" fillId="0" borderId="4" xfId="0" applyNumberFormat="1" applyFont="1" applyBorder="1" applyAlignment="1">
      <alignment horizontal="left" wrapText="1"/>
    </xf>
    <xf numFmtId="0" fontId="1" fillId="3" borderId="4" xfId="0" applyFont="1" applyFill="1" applyBorder="1" applyAlignment="1">
      <alignment horizontal="right"/>
    </xf>
    <xf numFmtId="165" fontId="1" fillId="3" borderId="4" xfId="0" applyNumberFormat="1" applyFont="1" applyFill="1" applyBorder="1" applyAlignment="1">
      <alignment horizontal="right"/>
    </xf>
    <xf numFmtId="166" fontId="1" fillId="3" borderId="1" xfId="0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center"/>
    </xf>
    <xf numFmtId="166" fontId="2" fillId="0" borderId="6" xfId="0" applyNumberFormat="1" applyFont="1" applyBorder="1"/>
    <xf numFmtId="165" fontId="2" fillId="0" borderId="6" xfId="0" applyNumberFormat="1" applyFont="1" applyBorder="1"/>
    <xf numFmtId="0" fontId="1" fillId="0" borderId="6" xfId="0" applyFont="1" applyBorder="1"/>
    <xf numFmtId="165" fontId="1" fillId="0" borderId="6" xfId="0" applyNumberFormat="1" applyFont="1" applyBorder="1"/>
    <xf numFmtId="166" fontId="1" fillId="0" borderId="6" xfId="0" applyNumberFormat="1" applyFont="1" applyBorder="1"/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wrapText="1"/>
    </xf>
    <xf numFmtId="0" fontId="1" fillId="6" borderId="8" xfId="0" applyFont="1" applyFill="1" applyBorder="1"/>
    <xf numFmtId="0" fontId="1" fillId="6" borderId="10" xfId="0" applyFont="1" applyFill="1" applyBorder="1"/>
    <xf numFmtId="0" fontId="2" fillId="0" borderId="12" xfId="0" applyFont="1" applyBorder="1" applyAlignment="1">
      <alignment horizontal="center"/>
    </xf>
    <xf numFmtId="166" fontId="2" fillId="0" borderId="12" xfId="0" applyNumberFormat="1" applyFont="1" applyBorder="1"/>
    <xf numFmtId="165" fontId="2" fillId="0" borderId="12" xfId="0" applyNumberFormat="1" applyFont="1" applyBorder="1"/>
    <xf numFmtId="0" fontId="1" fillId="2" borderId="1" xfId="0" applyFont="1" applyFill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horizontal="right"/>
    </xf>
    <xf numFmtId="166" fontId="1" fillId="3" borderId="4" xfId="0" applyNumberFormat="1" applyFont="1" applyFill="1" applyBorder="1"/>
    <xf numFmtId="166" fontId="2" fillId="0" borderId="0" xfId="0" applyNumberFormat="1" applyFont="1"/>
    <xf numFmtId="166" fontId="0" fillId="0" borderId="0" xfId="0" applyNumberFormat="1"/>
    <xf numFmtId="165" fontId="1" fillId="3" borderId="6" xfId="0" applyNumberFormat="1" applyFont="1" applyFill="1" applyBorder="1"/>
    <xf numFmtId="0" fontId="1" fillId="7" borderId="2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2" fillId="6" borderId="11" xfId="0" applyFont="1" applyFill="1" applyBorder="1" applyAlignment="1">
      <alignment horizontal="left" wrapText="1"/>
    </xf>
    <xf numFmtId="0" fontId="0" fillId="0" borderId="15" xfId="0" applyBorder="1"/>
    <xf numFmtId="0" fontId="0" fillId="0" borderId="16" xfId="0" applyBorder="1"/>
    <xf numFmtId="0" fontId="2" fillId="6" borderId="9" xfId="0" applyFont="1" applyFill="1" applyBorder="1" applyAlignment="1">
      <alignment horizontal="left" wrapText="1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view="pageLayout" zoomScaleNormal="100" workbookViewId="0">
      <selection activeCell="B28" sqref="B28"/>
    </sheetView>
  </sheetViews>
  <sheetFormatPr defaultRowHeight="15" x14ac:dyDescent="0.25"/>
  <cols>
    <col min="1" max="1" width="16.85546875" customWidth="1"/>
    <col min="2" max="2" width="52.28515625" customWidth="1"/>
    <col min="3" max="6" width="13.140625" customWidth="1"/>
    <col min="7" max="7" width="13.140625" style="36" customWidth="1"/>
    <col min="8" max="8" width="4.140625" customWidth="1"/>
    <col min="9" max="9" width="13.140625" customWidth="1"/>
  </cols>
  <sheetData>
    <row r="1" spans="1:10" x14ac:dyDescent="0.25">
      <c r="A1" s="38" t="s">
        <v>0</v>
      </c>
      <c r="B1" s="39"/>
      <c r="C1" s="39"/>
      <c r="D1" s="39"/>
      <c r="E1" s="39"/>
      <c r="F1" s="39"/>
      <c r="G1" s="40"/>
      <c r="H1" s="1"/>
      <c r="I1" s="1"/>
      <c r="J1" s="2"/>
    </row>
    <row r="2" spans="1:10" ht="26.25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2" t="s">
        <v>333</v>
      </c>
      <c r="H2" s="1"/>
      <c r="I2" s="1"/>
      <c r="J2" s="2"/>
    </row>
    <row r="3" spans="1:10" x14ac:dyDescent="0.25">
      <c r="A3" s="5" t="s">
        <v>7</v>
      </c>
      <c r="B3" s="5" t="s">
        <v>8</v>
      </c>
      <c r="C3" s="6" t="s">
        <v>9</v>
      </c>
      <c r="D3" s="6" t="s">
        <v>10</v>
      </c>
      <c r="E3" s="7" t="s">
        <v>11</v>
      </c>
      <c r="F3" s="8">
        <v>640</v>
      </c>
      <c r="G3" s="33">
        <v>0.25</v>
      </c>
      <c r="H3" s="1"/>
      <c r="I3" s="1"/>
      <c r="J3" s="2"/>
    </row>
    <row r="4" spans="1:10" x14ac:dyDescent="0.25">
      <c r="A4" s="5" t="s">
        <v>7</v>
      </c>
      <c r="B4" s="5" t="s">
        <v>8</v>
      </c>
      <c r="C4" s="6" t="s">
        <v>12</v>
      </c>
      <c r="D4" s="6" t="s">
        <v>10</v>
      </c>
      <c r="E4" s="7" t="s">
        <v>11</v>
      </c>
      <c r="F4" s="8">
        <v>640</v>
      </c>
      <c r="G4" s="33">
        <v>0.25</v>
      </c>
      <c r="H4" s="1"/>
      <c r="I4" s="1"/>
      <c r="J4" s="1"/>
    </row>
    <row r="5" spans="1:10" x14ac:dyDescent="0.25">
      <c r="A5" s="5" t="s">
        <v>7</v>
      </c>
      <c r="B5" s="5" t="s">
        <v>8</v>
      </c>
      <c r="C5" s="6" t="s">
        <v>13</v>
      </c>
      <c r="D5" s="6" t="s">
        <v>10</v>
      </c>
      <c r="E5" s="7" t="s">
        <v>11</v>
      </c>
      <c r="F5" s="8">
        <v>640</v>
      </c>
      <c r="G5" s="33">
        <v>0.25</v>
      </c>
      <c r="H5" s="1"/>
      <c r="I5" s="1"/>
      <c r="J5" s="1"/>
    </row>
    <row r="6" spans="1:10" x14ac:dyDescent="0.25">
      <c r="A6" s="5" t="s">
        <v>7</v>
      </c>
      <c r="B6" s="5" t="s">
        <v>8</v>
      </c>
      <c r="C6" s="6" t="s">
        <v>14</v>
      </c>
      <c r="D6" s="6" t="s">
        <v>10</v>
      </c>
      <c r="E6" s="7" t="s">
        <v>11</v>
      </c>
      <c r="F6" s="8">
        <v>640</v>
      </c>
      <c r="G6" s="33">
        <v>0.25</v>
      </c>
      <c r="H6" s="1"/>
      <c r="I6" s="1"/>
      <c r="J6" s="1"/>
    </row>
    <row r="7" spans="1:10" x14ac:dyDescent="0.25">
      <c r="A7" s="9" t="s">
        <v>15</v>
      </c>
      <c r="B7" s="10"/>
      <c r="C7" s="10"/>
      <c r="D7" s="10"/>
      <c r="E7" s="10"/>
      <c r="F7" s="37">
        <f>SUM(F3:F6)</f>
        <v>2560</v>
      </c>
      <c r="G7" s="34">
        <f>SUM(G3:G6)</f>
        <v>1</v>
      </c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35"/>
      <c r="H8" s="1"/>
      <c r="I8" s="1"/>
      <c r="J8" s="1"/>
    </row>
    <row r="9" spans="1:10" ht="26.25" x14ac:dyDescent="0.25">
      <c r="A9" s="4" t="s">
        <v>16</v>
      </c>
      <c r="B9" s="4" t="s">
        <v>17</v>
      </c>
      <c r="C9" s="4" t="s">
        <v>6</v>
      </c>
      <c r="D9" s="31" t="s">
        <v>18</v>
      </c>
      <c r="E9" s="1"/>
      <c r="F9" s="1"/>
      <c r="G9" s="35"/>
      <c r="H9" s="1"/>
    </row>
    <row r="10" spans="1:10" x14ac:dyDescent="0.25">
      <c r="A10" s="11" t="s">
        <v>19</v>
      </c>
      <c r="B10" s="12" t="s">
        <v>20</v>
      </c>
      <c r="C10" s="8">
        <v>1.35</v>
      </c>
      <c r="D10" s="13">
        <v>5.2734375000000003E-4</v>
      </c>
      <c r="E10" s="1"/>
      <c r="F10" s="1"/>
      <c r="G10" s="35"/>
      <c r="H10" s="1"/>
    </row>
    <row r="11" spans="1:10" x14ac:dyDescent="0.25">
      <c r="A11" s="7" t="s">
        <v>21</v>
      </c>
      <c r="B11" s="14" t="s">
        <v>22</v>
      </c>
      <c r="C11" s="8">
        <v>318.64999999999998</v>
      </c>
      <c r="D11" s="13">
        <v>0.12447265624999999</v>
      </c>
      <c r="E11" s="1"/>
      <c r="F11" s="1"/>
      <c r="G11" s="35"/>
      <c r="H11" s="1"/>
    </row>
    <row r="12" spans="1:10" x14ac:dyDescent="0.25">
      <c r="A12" s="7" t="s">
        <v>23</v>
      </c>
      <c r="B12" s="14" t="s">
        <v>24</v>
      </c>
      <c r="C12" s="8">
        <v>240</v>
      </c>
      <c r="D12" s="13">
        <v>9.375E-2</v>
      </c>
      <c r="E12" s="1"/>
      <c r="F12" s="1"/>
      <c r="G12" s="35"/>
      <c r="H12" s="1"/>
    </row>
    <row r="13" spans="1:10" x14ac:dyDescent="0.25">
      <c r="A13" s="7" t="s">
        <v>25</v>
      </c>
      <c r="B13" s="14" t="s">
        <v>26</v>
      </c>
      <c r="C13" s="8">
        <v>80</v>
      </c>
      <c r="D13" s="13">
        <v>3.125E-2</v>
      </c>
      <c r="E13" s="1"/>
      <c r="F13" s="1"/>
      <c r="G13" s="35"/>
      <c r="H13" s="1"/>
    </row>
    <row r="14" spans="1:10" x14ac:dyDescent="0.25">
      <c r="A14" s="7" t="s">
        <v>27</v>
      </c>
      <c r="B14" s="14" t="s">
        <v>28</v>
      </c>
      <c r="C14" s="8">
        <v>240</v>
      </c>
      <c r="D14" s="13">
        <v>9.375E-2</v>
      </c>
      <c r="E14" s="1"/>
      <c r="F14" s="1"/>
      <c r="G14" s="35"/>
      <c r="H14" s="1"/>
    </row>
    <row r="15" spans="1:10" x14ac:dyDescent="0.25">
      <c r="A15" s="7" t="s">
        <v>29</v>
      </c>
      <c r="B15" s="14" t="s">
        <v>30</v>
      </c>
      <c r="C15" s="8">
        <v>40</v>
      </c>
      <c r="D15" s="13">
        <v>1.5625E-2</v>
      </c>
      <c r="E15" s="1"/>
      <c r="F15" s="1"/>
      <c r="G15" s="35"/>
      <c r="H15" s="1"/>
    </row>
    <row r="16" spans="1:10" x14ac:dyDescent="0.25">
      <c r="A16" s="7" t="s">
        <v>31</v>
      </c>
      <c r="B16" s="14" t="s">
        <v>32</v>
      </c>
      <c r="C16" s="8">
        <v>120</v>
      </c>
      <c r="D16" s="13">
        <v>4.6875E-2</v>
      </c>
      <c r="E16" s="1"/>
      <c r="F16" s="1"/>
      <c r="G16" s="35"/>
      <c r="H16" s="1"/>
    </row>
    <row r="17" spans="1:10" x14ac:dyDescent="0.25">
      <c r="A17" s="11" t="s">
        <v>33</v>
      </c>
      <c r="B17" s="14" t="s">
        <v>34</v>
      </c>
      <c r="C17" s="8">
        <v>240</v>
      </c>
      <c r="D17" s="13">
        <v>9.375E-2</v>
      </c>
      <c r="E17" s="1"/>
      <c r="F17" s="1"/>
      <c r="G17" s="35"/>
      <c r="H17" s="1"/>
    </row>
    <row r="18" spans="1:10" x14ac:dyDescent="0.25">
      <c r="A18" s="7" t="s">
        <v>35</v>
      </c>
      <c r="B18" s="14" t="s">
        <v>36</v>
      </c>
      <c r="C18" s="8">
        <v>320</v>
      </c>
      <c r="D18" s="13">
        <v>0.125</v>
      </c>
      <c r="E18" s="1"/>
      <c r="F18" s="1"/>
      <c r="G18" s="35"/>
      <c r="H18" s="1"/>
    </row>
    <row r="19" spans="1:10" x14ac:dyDescent="0.25">
      <c r="A19" s="7" t="s">
        <v>37</v>
      </c>
      <c r="B19" s="14" t="s">
        <v>38</v>
      </c>
      <c r="C19" s="8">
        <v>160</v>
      </c>
      <c r="D19" s="13">
        <v>6.25E-2</v>
      </c>
      <c r="E19" s="1"/>
      <c r="F19" s="1"/>
      <c r="G19" s="35"/>
      <c r="H19" s="1"/>
    </row>
    <row r="20" spans="1:10" x14ac:dyDescent="0.25">
      <c r="A20" s="7" t="s">
        <v>39</v>
      </c>
      <c r="B20" s="14" t="s">
        <v>40</v>
      </c>
      <c r="C20" s="8">
        <v>160</v>
      </c>
      <c r="D20" s="13">
        <v>6.25E-2</v>
      </c>
      <c r="E20" s="1"/>
      <c r="F20" s="1"/>
      <c r="G20" s="35"/>
      <c r="H20" s="1"/>
    </row>
    <row r="21" spans="1:10" x14ac:dyDescent="0.25">
      <c r="A21" s="7" t="s">
        <v>41</v>
      </c>
      <c r="B21" s="14" t="s">
        <v>42</v>
      </c>
      <c r="C21" s="8">
        <v>480</v>
      </c>
      <c r="D21" s="13">
        <v>0.1875</v>
      </c>
      <c r="E21" s="1"/>
      <c r="F21" s="1"/>
      <c r="G21" s="35"/>
      <c r="H21" s="1"/>
    </row>
    <row r="22" spans="1:10" x14ac:dyDescent="0.25">
      <c r="A22" s="11" t="s">
        <v>43</v>
      </c>
      <c r="B22" s="14" t="s">
        <v>44</v>
      </c>
      <c r="C22" s="8">
        <v>160</v>
      </c>
      <c r="D22" s="13">
        <v>6.25E-2</v>
      </c>
      <c r="E22" s="1"/>
      <c r="F22" s="1"/>
      <c r="G22" s="35"/>
      <c r="H22" s="1"/>
    </row>
    <row r="23" spans="1:10" x14ac:dyDescent="0.25">
      <c r="A23" s="9" t="s">
        <v>15</v>
      </c>
      <c r="B23" s="15"/>
      <c r="C23" s="16">
        <f>SUM(C10:C22)</f>
        <v>2560</v>
      </c>
      <c r="D23" s="17">
        <f>SUM(D10:D22)</f>
        <v>1</v>
      </c>
      <c r="E23" s="2"/>
      <c r="F23" s="1"/>
      <c r="G23" s="35"/>
      <c r="H23" s="1"/>
      <c r="I23" s="1"/>
      <c r="J23" s="1"/>
    </row>
  </sheetData>
  <mergeCells count="1">
    <mergeCell ref="A1:G1"/>
  </mergeCells>
  <printOptions horizontalCentered="1"/>
  <pageMargins left="0.25" right="0.25" top="0.75" bottom="0.75" header="0.3" footer="0.3"/>
  <pageSetup scale="75" fitToHeight="0" orientation="portrait" r:id="rId1"/>
  <headerFooter scaleWithDoc="0">
    <oddHeader>&amp;C&amp;"Times New Roman,Bold" Schedule 2: Tract List</oddHeader>
    <oddFooter>&amp;C&amp;"Times New Roman"&amp;10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86"/>
  <sheetViews>
    <sheetView workbookViewId="0">
      <selection activeCell="A4" sqref="A4"/>
    </sheetView>
  </sheetViews>
  <sheetFormatPr defaultRowHeight="15" x14ac:dyDescent="0.25"/>
  <cols>
    <col min="1" max="1" width="13" customWidth="1"/>
    <col min="2" max="2" width="12" customWidth="1"/>
    <col min="3" max="3" width="13" customWidth="1"/>
    <col min="4" max="4" width="3" customWidth="1"/>
    <col min="5" max="5" width="12" customWidth="1"/>
    <col min="6" max="6" width="3" customWidth="1"/>
    <col min="7" max="7" width="12" customWidth="1"/>
    <col min="8" max="8" width="3" customWidth="1"/>
    <col min="9" max="9" width="12" customWidth="1"/>
    <col min="10" max="10" width="3" customWidth="1"/>
    <col min="11" max="11" width="12" customWidth="1"/>
    <col min="12" max="12" width="3" customWidth="1"/>
    <col min="13" max="13" width="12" customWidth="1"/>
    <col min="14" max="14" width="3" customWidth="1"/>
    <col min="15" max="15" width="14" customWidth="1"/>
  </cols>
  <sheetData>
    <row r="1" spans="1:15" x14ac:dyDescent="0.25">
      <c r="A1" s="25" t="s">
        <v>45</v>
      </c>
      <c r="B1" s="25" t="s">
        <v>46</v>
      </c>
      <c r="C1" s="25" t="s">
        <v>47</v>
      </c>
      <c r="D1" s="25"/>
      <c r="E1" s="25" t="s">
        <v>48</v>
      </c>
      <c r="F1" s="25" t="s">
        <v>49</v>
      </c>
      <c r="G1" s="25" t="s">
        <v>50</v>
      </c>
      <c r="H1" s="25" t="s">
        <v>51</v>
      </c>
      <c r="I1" s="25" t="s">
        <v>52</v>
      </c>
      <c r="J1" s="25" t="s">
        <v>53</v>
      </c>
      <c r="K1" s="25" t="s">
        <v>54</v>
      </c>
      <c r="L1" s="25"/>
      <c r="M1" s="25" t="s">
        <v>55</v>
      </c>
      <c r="N1" s="25"/>
      <c r="O1" s="25" t="s">
        <v>56</v>
      </c>
    </row>
    <row r="3" spans="1:15" x14ac:dyDescent="0.25">
      <c r="A3" s="26" t="s">
        <v>57</v>
      </c>
      <c r="B3" s="44" t="s">
        <v>58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1:15" x14ac:dyDescent="0.25">
      <c r="A4" s="27" t="s">
        <v>214</v>
      </c>
      <c r="B4" s="41" t="s">
        <v>59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</row>
    <row r="6" spans="1:15" x14ac:dyDescent="0.25">
      <c r="A6" s="18">
        <v>16</v>
      </c>
      <c r="B6" s="18" t="s">
        <v>60</v>
      </c>
      <c r="C6" s="18"/>
      <c r="D6" s="18"/>
      <c r="E6" s="19">
        <v>8.1250000000000003E-2</v>
      </c>
      <c r="F6" s="18" t="s">
        <v>49</v>
      </c>
      <c r="G6" s="19">
        <v>0.15</v>
      </c>
      <c r="H6" s="18" t="s">
        <v>51</v>
      </c>
      <c r="I6" s="19">
        <v>0</v>
      </c>
      <c r="J6" s="18" t="s">
        <v>53</v>
      </c>
      <c r="K6" s="19">
        <v>1.21875E-2</v>
      </c>
      <c r="L6" s="18"/>
      <c r="M6" s="20">
        <v>9.75</v>
      </c>
      <c r="N6" s="18"/>
      <c r="O6" s="19">
        <v>5.7128906249999997E-4</v>
      </c>
    </row>
    <row r="7" spans="1:15" x14ac:dyDescent="0.25">
      <c r="A7" s="21" t="s">
        <v>61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>
        <v>9.75</v>
      </c>
      <c r="N7" s="21"/>
      <c r="O7" s="23">
        <v>5.7128906249999997E-4</v>
      </c>
    </row>
    <row r="9" spans="1:15" x14ac:dyDescent="0.25">
      <c r="A9" s="26" t="s">
        <v>57</v>
      </c>
      <c r="B9" s="44" t="s">
        <v>62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6"/>
    </row>
    <row r="10" spans="1:15" x14ac:dyDescent="0.25">
      <c r="A10" s="27" t="s">
        <v>214</v>
      </c>
      <c r="B10" s="41" t="s">
        <v>63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</row>
    <row r="12" spans="1:15" x14ac:dyDescent="0.25">
      <c r="A12" s="18">
        <v>2</v>
      </c>
      <c r="B12" s="18" t="s">
        <v>37</v>
      </c>
      <c r="C12" s="18"/>
      <c r="D12" s="18"/>
      <c r="E12" s="19">
        <v>2.8571400000000002E-3</v>
      </c>
      <c r="F12" s="18" t="s">
        <v>49</v>
      </c>
      <c r="G12" s="19">
        <v>0.1875</v>
      </c>
      <c r="H12" s="18" t="s">
        <v>51</v>
      </c>
      <c r="I12" s="19">
        <v>0</v>
      </c>
      <c r="J12" s="18" t="s">
        <v>53</v>
      </c>
      <c r="K12" s="19">
        <v>5.3571000000000001E-4</v>
      </c>
      <c r="L12" s="18"/>
      <c r="M12" s="20">
        <v>0.91042800000000002</v>
      </c>
      <c r="N12" s="18"/>
      <c r="O12" s="19">
        <v>6.6681246679687494E-5</v>
      </c>
    </row>
    <row r="13" spans="1:15" x14ac:dyDescent="0.25">
      <c r="A13" s="21" t="s">
        <v>61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2">
        <v>0.91042800000000002</v>
      </c>
      <c r="N13" s="21"/>
      <c r="O13" s="23">
        <v>6.6681246679687494E-5</v>
      </c>
    </row>
    <row r="15" spans="1:15" x14ac:dyDescent="0.25">
      <c r="A15" s="26" t="s">
        <v>57</v>
      </c>
      <c r="B15" s="44" t="s">
        <v>64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6"/>
    </row>
    <row r="16" spans="1:15" x14ac:dyDescent="0.25">
      <c r="A16" s="27" t="s">
        <v>214</v>
      </c>
      <c r="B16" s="41" t="s">
        <v>65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</row>
    <row r="18" spans="1:15" x14ac:dyDescent="0.25">
      <c r="A18" s="18">
        <v>19</v>
      </c>
      <c r="B18" s="18" t="s">
        <v>66</v>
      </c>
      <c r="C18" s="18"/>
      <c r="D18" s="18"/>
      <c r="E18" s="19">
        <v>0.5</v>
      </c>
      <c r="F18" s="18" t="s">
        <v>49</v>
      </c>
      <c r="G18" s="19">
        <v>0.16666666999999999</v>
      </c>
      <c r="H18" s="18" t="s">
        <v>51</v>
      </c>
      <c r="I18" s="19">
        <v>0.01</v>
      </c>
      <c r="J18" s="18" t="s">
        <v>53</v>
      </c>
      <c r="K18" s="19">
        <v>7.8333330000000007E-2</v>
      </c>
      <c r="L18" s="18"/>
      <c r="M18" s="20">
        <v>80</v>
      </c>
      <c r="N18" s="18"/>
      <c r="O18" s="19">
        <v>4.8958331250000004E-3</v>
      </c>
    </row>
    <row r="19" spans="1:15" x14ac:dyDescent="0.25">
      <c r="A19" s="21" t="s">
        <v>61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>
        <v>80</v>
      </c>
      <c r="N19" s="21"/>
      <c r="O19" s="23">
        <v>4.8958331250000004E-3</v>
      </c>
    </row>
    <row r="21" spans="1:15" x14ac:dyDescent="0.25">
      <c r="A21" s="26" t="s">
        <v>57</v>
      </c>
      <c r="B21" s="44" t="s">
        <v>67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6"/>
    </row>
    <row r="22" spans="1:15" x14ac:dyDescent="0.25">
      <c r="A22" s="27" t="s">
        <v>214</v>
      </c>
      <c r="B22" s="41" t="s">
        <v>68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3"/>
    </row>
    <row r="24" spans="1:15" x14ac:dyDescent="0.25">
      <c r="A24" s="18">
        <v>2</v>
      </c>
      <c r="B24" s="18" t="s">
        <v>60</v>
      </c>
      <c r="C24" s="18"/>
      <c r="D24" s="18"/>
      <c r="E24" s="19">
        <v>3.3333299999999998E-3</v>
      </c>
      <c r="F24" s="18" t="s">
        <v>49</v>
      </c>
      <c r="G24" s="19">
        <v>0.1875</v>
      </c>
      <c r="H24" s="18" t="s">
        <v>51</v>
      </c>
      <c r="I24" s="19">
        <v>0</v>
      </c>
      <c r="J24" s="18" t="s">
        <v>53</v>
      </c>
      <c r="K24" s="19">
        <v>6.2500000000000001E-4</v>
      </c>
      <c r="L24" s="18"/>
      <c r="M24" s="20">
        <v>1.0621659999999999</v>
      </c>
      <c r="N24" s="18"/>
      <c r="O24" s="19">
        <v>7.7795410156249997E-5</v>
      </c>
    </row>
    <row r="25" spans="1:15" x14ac:dyDescent="0.25">
      <c r="A25" s="21" t="s">
        <v>61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2">
        <v>1.0621659999999999</v>
      </c>
      <c r="N25" s="21"/>
      <c r="O25" s="23">
        <v>7.7795410156249997E-5</v>
      </c>
    </row>
    <row r="27" spans="1:15" x14ac:dyDescent="0.25">
      <c r="A27" s="26" t="s">
        <v>57</v>
      </c>
      <c r="B27" s="44" t="s">
        <v>69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</row>
    <row r="28" spans="1:15" x14ac:dyDescent="0.25">
      <c r="A28" s="27" t="s">
        <v>214</v>
      </c>
      <c r="B28" s="41" t="s">
        <v>70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3"/>
    </row>
    <row r="30" spans="1:15" x14ac:dyDescent="0.25">
      <c r="A30" s="18">
        <v>2</v>
      </c>
      <c r="B30" s="18" t="s">
        <v>37</v>
      </c>
      <c r="C30" s="18"/>
      <c r="D30" s="18"/>
      <c r="E30" s="19">
        <v>2.8571400000000002E-3</v>
      </c>
      <c r="F30" s="18" t="s">
        <v>49</v>
      </c>
      <c r="G30" s="19">
        <v>0.1875</v>
      </c>
      <c r="H30" s="18" t="s">
        <v>51</v>
      </c>
      <c r="I30" s="19">
        <v>0</v>
      </c>
      <c r="J30" s="18" t="s">
        <v>53</v>
      </c>
      <c r="K30" s="19">
        <v>5.3571000000000001E-4</v>
      </c>
      <c r="L30" s="18"/>
      <c r="M30" s="20">
        <v>0.91042800000000002</v>
      </c>
      <c r="N30" s="18"/>
      <c r="O30" s="19">
        <v>6.6681246679687494E-5</v>
      </c>
    </row>
    <row r="31" spans="1:15" x14ac:dyDescent="0.25">
      <c r="A31" s="21" t="s">
        <v>61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>
        <v>0.91042800000000002</v>
      </c>
      <c r="N31" s="21"/>
      <c r="O31" s="23">
        <v>6.6681246679687494E-5</v>
      </c>
    </row>
    <row r="33" spans="1:15" x14ac:dyDescent="0.25">
      <c r="A33" s="26" t="s">
        <v>57</v>
      </c>
      <c r="B33" s="44" t="s">
        <v>71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</row>
    <row r="34" spans="1:15" x14ac:dyDescent="0.25">
      <c r="A34" s="27" t="s">
        <v>214</v>
      </c>
      <c r="B34" s="41" t="s">
        <v>72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3"/>
    </row>
    <row r="36" spans="1:15" x14ac:dyDescent="0.25">
      <c r="A36" s="18">
        <v>16</v>
      </c>
      <c r="B36" s="18" t="s">
        <v>73</v>
      </c>
      <c r="C36" s="18" t="s">
        <v>74</v>
      </c>
      <c r="D36" s="18"/>
      <c r="E36" s="19">
        <v>4.1666670000000003E-2</v>
      </c>
      <c r="F36" s="18" t="s">
        <v>49</v>
      </c>
      <c r="G36" s="19">
        <v>0.14285713999999999</v>
      </c>
      <c r="H36" s="18" t="s">
        <v>51</v>
      </c>
      <c r="I36" s="19">
        <v>0</v>
      </c>
      <c r="J36" s="18" t="s">
        <v>53</v>
      </c>
      <c r="K36" s="19">
        <v>5.9523800000000002E-3</v>
      </c>
      <c r="L36" s="18"/>
      <c r="M36" s="20">
        <v>5</v>
      </c>
      <c r="N36" s="18"/>
      <c r="O36" s="19">
        <v>2.7901781250000001E-4</v>
      </c>
    </row>
    <row r="37" spans="1:15" x14ac:dyDescent="0.25">
      <c r="A37" s="21" t="s">
        <v>61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v>5</v>
      </c>
      <c r="N37" s="21"/>
      <c r="O37" s="23">
        <v>2.7901781250000001E-4</v>
      </c>
    </row>
    <row r="39" spans="1:15" x14ac:dyDescent="0.25">
      <c r="A39" s="26" t="s">
        <v>57</v>
      </c>
      <c r="B39" s="44" t="s">
        <v>75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6"/>
    </row>
    <row r="40" spans="1:15" x14ac:dyDescent="0.25">
      <c r="A40" s="27" t="s">
        <v>214</v>
      </c>
      <c r="B40" s="41" t="s">
        <v>68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3"/>
    </row>
    <row r="42" spans="1:15" x14ac:dyDescent="0.25">
      <c r="A42" s="28">
        <v>2</v>
      </c>
      <c r="B42" s="28" t="s">
        <v>76</v>
      </c>
      <c r="C42" s="28"/>
      <c r="D42" s="28"/>
      <c r="E42" s="29">
        <v>2.7777999999999999E-4</v>
      </c>
      <c r="F42" s="28" t="s">
        <v>49</v>
      </c>
      <c r="G42" s="29">
        <v>0.1875</v>
      </c>
      <c r="H42" s="28" t="s">
        <v>51</v>
      </c>
      <c r="I42" s="29">
        <v>0</v>
      </c>
      <c r="J42" s="28" t="s">
        <v>53</v>
      </c>
      <c r="K42" s="29">
        <v>5.2080000000000003E-5</v>
      </c>
      <c r="L42" s="28"/>
      <c r="M42" s="30">
        <v>8.8514999999999996E-2</v>
      </c>
      <c r="N42" s="28"/>
      <c r="O42" s="29">
        <v>6.4825359374999997E-6</v>
      </c>
    </row>
    <row r="43" spans="1:15" x14ac:dyDescent="0.25">
      <c r="A43" s="28">
        <v>2</v>
      </c>
      <c r="B43" s="28" t="s">
        <v>76</v>
      </c>
      <c r="C43" s="28"/>
      <c r="D43" s="28"/>
      <c r="E43" s="29">
        <v>4.1667000000000001E-4</v>
      </c>
      <c r="F43" s="28" t="s">
        <v>49</v>
      </c>
      <c r="G43" s="29">
        <v>0.1875</v>
      </c>
      <c r="H43" s="28" t="s">
        <v>51</v>
      </c>
      <c r="I43" s="29">
        <v>0</v>
      </c>
      <c r="J43" s="28" t="s">
        <v>53</v>
      </c>
      <c r="K43" s="29">
        <v>7.8129999999999999E-5</v>
      </c>
      <c r="L43" s="28"/>
      <c r="M43" s="30">
        <v>0.132772</v>
      </c>
      <c r="N43" s="28"/>
      <c r="O43" s="29">
        <v>9.7250486328124997E-6</v>
      </c>
    </row>
    <row r="44" spans="1:15" x14ac:dyDescent="0.25">
      <c r="A44" s="28">
        <v>2</v>
      </c>
      <c r="B44" s="28" t="s">
        <v>76</v>
      </c>
      <c r="C44" s="28"/>
      <c r="D44" s="28"/>
      <c r="E44" s="29">
        <v>9.2590000000000006E-5</v>
      </c>
      <c r="F44" s="28" t="s">
        <v>49</v>
      </c>
      <c r="G44" s="29">
        <v>0.1875</v>
      </c>
      <c r="H44" s="28" t="s">
        <v>51</v>
      </c>
      <c r="I44" s="29">
        <v>0</v>
      </c>
      <c r="J44" s="28" t="s">
        <v>53</v>
      </c>
      <c r="K44" s="29">
        <v>1.736E-5</v>
      </c>
      <c r="L44" s="28"/>
      <c r="M44" s="30">
        <v>2.9503999999999999E-2</v>
      </c>
      <c r="N44" s="28"/>
      <c r="O44" s="29">
        <v>2.1608453124999999E-6</v>
      </c>
    </row>
    <row r="45" spans="1:15" x14ac:dyDescent="0.25">
      <c r="A45" s="28">
        <v>2</v>
      </c>
      <c r="B45" s="28" t="s">
        <v>76</v>
      </c>
      <c r="C45" s="28"/>
      <c r="D45" s="28"/>
      <c r="E45" s="29">
        <v>4.1667000000000001E-4</v>
      </c>
      <c r="F45" s="28" t="s">
        <v>49</v>
      </c>
      <c r="G45" s="29">
        <v>0.1875</v>
      </c>
      <c r="H45" s="28" t="s">
        <v>51</v>
      </c>
      <c r="I45" s="29">
        <v>0</v>
      </c>
      <c r="J45" s="28" t="s">
        <v>53</v>
      </c>
      <c r="K45" s="29">
        <v>7.8129999999999999E-5</v>
      </c>
      <c r="L45" s="28"/>
      <c r="M45" s="30">
        <v>0.132772</v>
      </c>
      <c r="N45" s="28"/>
      <c r="O45" s="29">
        <v>9.7250486328124997E-6</v>
      </c>
    </row>
    <row r="46" spans="1:15" x14ac:dyDescent="0.25">
      <c r="A46" s="28">
        <v>2</v>
      </c>
      <c r="B46" s="28" t="s">
        <v>76</v>
      </c>
      <c r="C46" s="28"/>
      <c r="D46" s="28"/>
      <c r="E46" s="29">
        <v>4.1667000000000001E-4</v>
      </c>
      <c r="F46" s="28" t="s">
        <v>49</v>
      </c>
      <c r="G46" s="29">
        <v>0.1875</v>
      </c>
      <c r="H46" s="28" t="s">
        <v>51</v>
      </c>
      <c r="I46" s="29">
        <v>0</v>
      </c>
      <c r="J46" s="28" t="s">
        <v>53</v>
      </c>
      <c r="K46" s="29">
        <v>7.8129999999999999E-5</v>
      </c>
      <c r="L46" s="28"/>
      <c r="M46" s="30">
        <v>0.132771</v>
      </c>
      <c r="N46" s="28"/>
      <c r="O46" s="29">
        <v>9.7250486328124997E-6</v>
      </c>
    </row>
    <row r="47" spans="1:15" x14ac:dyDescent="0.25">
      <c r="A47" s="28">
        <v>2</v>
      </c>
      <c r="B47" s="28" t="s">
        <v>76</v>
      </c>
      <c r="C47" s="28"/>
      <c r="D47" s="28"/>
      <c r="E47" s="29">
        <v>3.1250000000000001E-5</v>
      </c>
      <c r="F47" s="28" t="s">
        <v>49</v>
      </c>
      <c r="G47" s="29">
        <v>0.1875</v>
      </c>
      <c r="H47" s="28" t="s">
        <v>51</v>
      </c>
      <c r="I47" s="29">
        <v>0</v>
      </c>
      <c r="J47" s="28" t="s">
        <v>53</v>
      </c>
      <c r="K47" s="29">
        <v>5.8599999999999998E-6</v>
      </c>
      <c r="L47" s="28"/>
      <c r="M47" s="30">
        <v>9.9579999999999998E-3</v>
      </c>
      <c r="N47" s="28"/>
      <c r="O47" s="29">
        <v>7.294097656249999E-7</v>
      </c>
    </row>
    <row r="48" spans="1:15" x14ac:dyDescent="0.25">
      <c r="A48" s="28">
        <v>2</v>
      </c>
      <c r="B48" s="28" t="s">
        <v>76</v>
      </c>
      <c r="C48" s="28"/>
      <c r="D48" s="28"/>
      <c r="E48" s="29">
        <v>9.2590000000000006E-5</v>
      </c>
      <c r="F48" s="28" t="s">
        <v>49</v>
      </c>
      <c r="G48" s="29">
        <v>0.1875</v>
      </c>
      <c r="H48" s="28" t="s">
        <v>51</v>
      </c>
      <c r="I48" s="29">
        <v>0</v>
      </c>
      <c r="J48" s="28" t="s">
        <v>53</v>
      </c>
      <c r="K48" s="29">
        <v>1.736E-5</v>
      </c>
      <c r="L48" s="28"/>
      <c r="M48" s="30">
        <v>2.9503999999999999E-2</v>
      </c>
      <c r="N48" s="28"/>
      <c r="O48" s="29">
        <v>2.1608453124999999E-6</v>
      </c>
    </row>
    <row r="49" spans="1:15" x14ac:dyDescent="0.25">
      <c r="A49" s="28">
        <v>2</v>
      </c>
      <c r="B49" s="28" t="s">
        <v>76</v>
      </c>
      <c r="C49" s="28"/>
      <c r="D49" s="28"/>
      <c r="E49" s="29">
        <v>2.7777999999999999E-4</v>
      </c>
      <c r="F49" s="28" t="s">
        <v>49</v>
      </c>
      <c r="G49" s="29">
        <v>0.1875</v>
      </c>
      <c r="H49" s="28" t="s">
        <v>51</v>
      </c>
      <c r="I49" s="29">
        <v>0</v>
      </c>
      <c r="J49" s="28" t="s">
        <v>53</v>
      </c>
      <c r="K49" s="29">
        <v>5.2080000000000003E-5</v>
      </c>
      <c r="L49" s="28"/>
      <c r="M49" s="30">
        <v>8.8514999999999996E-2</v>
      </c>
      <c r="N49" s="28"/>
      <c r="O49" s="29">
        <v>6.4825359374999997E-6</v>
      </c>
    </row>
    <row r="50" spans="1:15" x14ac:dyDescent="0.25">
      <c r="A50" s="28">
        <v>2</v>
      </c>
      <c r="B50" s="28" t="s">
        <v>76</v>
      </c>
      <c r="C50" s="28"/>
      <c r="D50" s="28"/>
      <c r="E50" s="29">
        <v>9.2590000000000006E-5</v>
      </c>
      <c r="F50" s="28" t="s">
        <v>49</v>
      </c>
      <c r="G50" s="29">
        <v>0.1875</v>
      </c>
      <c r="H50" s="28" t="s">
        <v>51</v>
      </c>
      <c r="I50" s="29">
        <v>0</v>
      </c>
      <c r="J50" s="28" t="s">
        <v>53</v>
      </c>
      <c r="K50" s="29">
        <v>1.736E-5</v>
      </c>
      <c r="L50" s="28"/>
      <c r="M50" s="30">
        <v>2.9503999999999999E-2</v>
      </c>
      <c r="N50" s="28"/>
      <c r="O50" s="29">
        <v>2.1608453124999999E-6</v>
      </c>
    </row>
    <row r="51" spans="1:15" x14ac:dyDescent="0.25">
      <c r="A51" s="18">
        <v>16</v>
      </c>
      <c r="B51" s="18" t="s">
        <v>60</v>
      </c>
      <c r="C51" s="18"/>
      <c r="D51" s="18"/>
      <c r="E51" s="19">
        <v>1.08333E-3</v>
      </c>
      <c r="F51" s="18" t="s">
        <v>49</v>
      </c>
      <c r="G51" s="19">
        <v>0.15</v>
      </c>
      <c r="H51" s="18" t="s">
        <v>51</v>
      </c>
      <c r="I51" s="19">
        <v>0</v>
      </c>
      <c r="J51" s="18" t="s">
        <v>53</v>
      </c>
      <c r="K51" s="19">
        <v>1.6249999999999999E-4</v>
      </c>
      <c r="L51" s="18"/>
      <c r="M51" s="20">
        <v>0.13</v>
      </c>
      <c r="N51" s="18"/>
      <c r="O51" s="19">
        <v>7.6171874999999997E-6</v>
      </c>
    </row>
    <row r="52" spans="1:15" x14ac:dyDescent="0.25">
      <c r="A52" s="21" t="s">
        <v>61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2">
        <v>0.80381499999999995</v>
      </c>
      <c r="N52" s="21"/>
      <c r="O52" s="23">
        <v>5.69693509765625E-5</v>
      </c>
    </row>
    <row r="54" spans="1:15" x14ac:dyDescent="0.25">
      <c r="A54" s="26" t="s">
        <v>57</v>
      </c>
      <c r="B54" s="44" t="s">
        <v>77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6"/>
    </row>
    <row r="55" spans="1:15" x14ac:dyDescent="0.25">
      <c r="A55" s="27" t="s">
        <v>214</v>
      </c>
      <c r="B55" s="41" t="s">
        <v>78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3"/>
    </row>
    <row r="57" spans="1:15" x14ac:dyDescent="0.25">
      <c r="A57" s="18">
        <v>2</v>
      </c>
      <c r="B57" s="18" t="s">
        <v>60</v>
      </c>
      <c r="C57" s="18"/>
      <c r="D57" s="18"/>
      <c r="E57" s="19">
        <v>3.3333299999999998E-3</v>
      </c>
      <c r="F57" s="18" t="s">
        <v>49</v>
      </c>
      <c r="G57" s="19">
        <v>0.1875</v>
      </c>
      <c r="H57" s="18" t="s">
        <v>51</v>
      </c>
      <c r="I57" s="19">
        <v>0</v>
      </c>
      <c r="J57" s="18" t="s">
        <v>53</v>
      </c>
      <c r="K57" s="19">
        <v>6.2500000000000001E-4</v>
      </c>
      <c r="L57" s="18"/>
      <c r="M57" s="20">
        <v>1.0621659999999999</v>
      </c>
      <c r="N57" s="18"/>
      <c r="O57" s="19">
        <v>7.7795410156249997E-5</v>
      </c>
    </row>
    <row r="58" spans="1:15" x14ac:dyDescent="0.25">
      <c r="A58" s="21" t="s">
        <v>61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2">
        <v>1.0621659999999999</v>
      </c>
      <c r="N58" s="21"/>
      <c r="O58" s="23">
        <v>7.7795410156249997E-5</v>
      </c>
    </row>
    <row r="60" spans="1:15" x14ac:dyDescent="0.25">
      <c r="A60" s="26" t="s">
        <v>57</v>
      </c>
      <c r="B60" s="44" t="s">
        <v>79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6"/>
    </row>
    <row r="61" spans="1:15" x14ac:dyDescent="0.25">
      <c r="A61" s="27" t="s">
        <v>214</v>
      </c>
      <c r="B61" s="41" t="s">
        <v>80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3"/>
    </row>
    <row r="63" spans="1:15" x14ac:dyDescent="0.25">
      <c r="A63" s="18">
        <v>16</v>
      </c>
      <c r="B63" s="18" t="s">
        <v>37</v>
      </c>
      <c r="C63" s="18"/>
      <c r="D63" s="18"/>
      <c r="E63" s="19">
        <v>8.3333329999999997E-2</v>
      </c>
      <c r="F63" s="18" t="s">
        <v>49</v>
      </c>
      <c r="G63" s="19">
        <v>0.14285713999999999</v>
      </c>
      <c r="H63" s="18" t="s">
        <v>51</v>
      </c>
      <c r="I63" s="19">
        <v>0</v>
      </c>
      <c r="J63" s="18" t="s">
        <v>53</v>
      </c>
      <c r="K63" s="19">
        <v>1.190476E-2</v>
      </c>
      <c r="L63" s="18"/>
      <c r="M63" s="20">
        <v>10</v>
      </c>
      <c r="N63" s="18"/>
      <c r="O63" s="19">
        <v>5.5803562500000002E-4</v>
      </c>
    </row>
    <row r="64" spans="1:15" x14ac:dyDescent="0.25">
      <c r="A64" s="21" t="s">
        <v>61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2">
        <v>10</v>
      </c>
      <c r="N64" s="21"/>
      <c r="O64" s="23">
        <v>5.5803562500000002E-4</v>
      </c>
    </row>
    <row r="66" spans="1:15" x14ac:dyDescent="0.25">
      <c r="A66" s="26" t="s">
        <v>57</v>
      </c>
      <c r="B66" s="44" t="s">
        <v>81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6"/>
    </row>
    <row r="67" spans="1:15" x14ac:dyDescent="0.25">
      <c r="A67" s="27" t="s">
        <v>214</v>
      </c>
      <c r="B67" s="41" t="s">
        <v>82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3"/>
    </row>
    <row r="69" spans="1:15" x14ac:dyDescent="0.25">
      <c r="A69" s="18">
        <v>16</v>
      </c>
      <c r="B69" s="18" t="s">
        <v>60</v>
      </c>
      <c r="C69" s="18"/>
      <c r="D69" s="18"/>
      <c r="E69" s="19">
        <v>2.0000000000000001E-4</v>
      </c>
      <c r="F69" s="18" t="s">
        <v>49</v>
      </c>
      <c r="G69" s="19">
        <v>0.15</v>
      </c>
      <c r="H69" s="18" t="s">
        <v>51</v>
      </c>
      <c r="I69" s="19">
        <v>0</v>
      </c>
      <c r="J69" s="18" t="s">
        <v>53</v>
      </c>
      <c r="K69" s="19">
        <v>3.0000000000000001E-5</v>
      </c>
      <c r="L69" s="18"/>
      <c r="M69" s="20">
        <v>2.4E-2</v>
      </c>
      <c r="N69" s="18"/>
      <c r="O69" s="19">
        <v>1.4062500000000001E-6</v>
      </c>
    </row>
    <row r="70" spans="1:15" x14ac:dyDescent="0.25">
      <c r="A70" s="21" t="s">
        <v>61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2">
        <v>2.4E-2</v>
      </c>
      <c r="N70" s="21"/>
      <c r="O70" s="23">
        <v>1.4062500000000001E-6</v>
      </c>
    </row>
    <row r="72" spans="1:15" x14ac:dyDescent="0.25">
      <c r="A72" s="26" t="s">
        <v>57</v>
      </c>
      <c r="B72" s="44" t="s">
        <v>83</v>
      </c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6"/>
    </row>
    <row r="73" spans="1:15" x14ac:dyDescent="0.25">
      <c r="A73" s="27" t="s">
        <v>214</v>
      </c>
      <c r="B73" s="41" t="s">
        <v>84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3"/>
    </row>
    <row r="75" spans="1:15" x14ac:dyDescent="0.25">
      <c r="A75" s="18">
        <v>16</v>
      </c>
      <c r="B75" s="18" t="s">
        <v>60</v>
      </c>
      <c r="C75" s="18"/>
      <c r="D75" s="18"/>
      <c r="E75" s="19">
        <v>2.0000000000000001E-4</v>
      </c>
      <c r="F75" s="18" t="s">
        <v>49</v>
      </c>
      <c r="G75" s="19">
        <v>0.15</v>
      </c>
      <c r="H75" s="18" t="s">
        <v>51</v>
      </c>
      <c r="I75" s="19">
        <v>0</v>
      </c>
      <c r="J75" s="18" t="s">
        <v>53</v>
      </c>
      <c r="K75" s="19">
        <v>3.0000000000000001E-5</v>
      </c>
      <c r="L75" s="18"/>
      <c r="M75" s="20">
        <v>2.4E-2</v>
      </c>
      <c r="N75" s="18"/>
      <c r="O75" s="19">
        <v>1.4062500000000001E-6</v>
      </c>
    </row>
    <row r="76" spans="1:15" x14ac:dyDescent="0.25">
      <c r="A76" s="21" t="s">
        <v>61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2">
        <v>2.4E-2</v>
      </c>
      <c r="N76" s="21"/>
      <c r="O76" s="23">
        <v>1.4062500000000001E-6</v>
      </c>
    </row>
    <row r="78" spans="1:15" x14ac:dyDescent="0.25">
      <c r="A78" s="26" t="s">
        <v>57</v>
      </c>
      <c r="B78" s="44" t="s">
        <v>85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6"/>
    </row>
    <row r="79" spans="1:15" x14ac:dyDescent="0.25">
      <c r="A79" s="27" t="s">
        <v>214</v>
      </c>
      <c r="B79" s="41" t="s">
        <v>86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3"/>
    </row>
    <row r="81" spans="1:15" x14ac:dyDescent="0.25">
      <c r="A81" s="28">
        <v>3</v>
      </c>
      <c r="B81" s="28" t="s">
        <v>87</v>
      </c>
      <c r="C81" s="28"/>
      <c r="D81" s="28"/>
      <c r="E81" s="29">
        <v>8.3333329999999997E-2</v>
      </c>
      <c r="F81" s="28" t="s">
        <v>49</v>
      </c>
      <c r="G81" s="29">
        <v>0.16666666999999999</v>
      </c>
      <c r="H81" s="28" t="s">
        <v>51</v>
      </c>
      <c r="I81" s="29">
        <v>0</v>
      </c>
      <c r="J81" s="28" t="s">
        <v>53</v>
      </c>
      <c r="K81" s="29">
        <v>1.3888889999999999E-2</v>
      </c>
      <c r="L81" s="28"/>
      <c r="M81" s="30">
        <v>19.999998999999999</v>
      </c>
      <c r="N81" s="28"/>
      <c r="O81" s="29">
        <v>1.3020834375000001E-3</v>
      </c>
    </row>
    <row r="82" spans="1:15" x14ac:dyDescent="0.25">
      <c r="A82" s="28">
        <v>3</v>
      </c>
      <c r="B82" s="28" t="s">
        <v>88</v>
      </c>
      <c r="C82" s="28"/>
      <c r="D82" s="28"/>
      <c r="E82" s="29">
        <v>8.3333329999999997E-2</v>
      </c>
      <c r="F82" s="28" t="s">
        <v>49</v>
      </c>
      <c r="G82" s="29">
        <v>0.16666666999999999</v>
      </c>
      <c r="H82" s="28" t="s">
        <v>51</v>
      </c>
      <c r="I82" s="29">
        <v>0</v>
      </c>
      <c r="J82" s="28" t="s">
        <v>53</v>
      </c>
      <c r="K82" s="29">
        <v>1.3888879999999999E-2</v>
      </c>
      <c r="L82" s="28"/>
      <c r="M82" s="30">
        <v>19.999998999999999</v>
      </c>
      <c r="N82" s="28"/>
      <c r="O82" s="29">
        <v>1.3020824999999999E-3</v>
      </c>
    </row>
    <row r="83" spans="1:15" x14ac:dyDescent="0.25">
      <c r="A83" s="18">
        <v>3</v>
      </c>
      <c r="B83" s="18" t="s">
        <v>25</v>
      </c>
      <c r="C83" s="18"/>
      <c r="D83" s="18"/>
      <c r="E83" s="19">
        <v>8.3333340000000006E-2</v>
      </c>
      <c r="F83" s="18" t="s">
        <v>49</v>
      </c>
      <c r="G83" s="19">
        <v>0.16666666999999999</v>
      </c>
      <c r="H83" s="18" t="s">
        <v>51</v>
      </c>
      <c r="I83" s="19">
        <v>0</v>
      </c>
      <c r="J83" s="18" t="s">
        <v>53</v>
      </c>
      <c r="K83" s="19">
        <v>1.3888889999999999E-2</v>
      </c>
      <c r="L83" s="18"/>
      <c r="M83" s="20">
        <v>20.000001999999999</v>
      </c>
      <c r="N83" s="18"/>
      <c r="O83" s="19">
        <v>1.3020834375000001E-3</v>
      </c>
    </row>
    <row r="84" spans="1:15" x14ac:dyDescent="0.25">
      <c r="A84" s="21" t="s">
        <v>61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2">
        <v>60</v>
      </c>
      <c r="N84" s="21"/>
      <c r="O84" s="23">
        <v>3.906249374999999E-3</v>
      </c>
    </row>
    <row r="86" spans="1:15" x14ac:dyDescent="0.25">
      <c r="A86" s="26" t="s">
        <v>57</v>
      </c>
      <c r="B86" s="44" t="s">
        <v>89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6"/>
    </row>
    <row r="87" spans="1:15" x14ac:dyDescent="0.25">
      <c r="A87" s="27" t="s">
        <v>214</v>
      </c>
      <c r="B87" s="41" t="s">
        <v>68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3"/>
    </row>
    <row r="89" spans="1:15" x14ac:dyDescent="0.25">
      <c r="A89" s="28">
        <v>15</v>
      </c>
      <c r="B89" s="28" t="s">
        <v>90</v>
      </c>
      <c r="C89" s="28"/>
      <c r="D89" s="28"/>
      <c r="E89" s="29">
        <v>0.25</v>
      </c>
      <c r="F89" s="28" t="s">
        <v>49</v>
      </c>
      <c r="G89" s="29">
        <v>0.15</v>
      </c>
      <c r="H89" s="28" t="s">
        <v>51</v>
      </c>
      <c r="I89" s="29">
        <v>0</v>
      </c>
      <c r="J89" s="28" t="s">
        <v>53</v>
      </c>
      <c r="K89" s="29">
        <v>3.7499999999999999E-2</v>
      </c>
      <c r="L89" s="28"/>
      <c r="M89" s="30">
        <v>10</v>
      </c>
      <c r="N89" s="28"/>
      <c r="O89" s="29">
        <v>5.8593749999999998E-4</v>
      </c>
    </row>
    <row r="90" spans="1:15" x14ac:dyDescent="0.25">
      <c r="A90" s="18">
        <v>18</v>
      </c>
      <c r="B90" s="18" t="s">
        <v>90</v>
      </c>
      <c r="C90" s="18"/>
      <c r="D90" s="18"/>
      <c r="E90" s="19">
        <v>0.5</v>
      </c>
      <c r="F90" s="18" t="s">
        <v>49</v>
      </c>
      <c r="G90" s="19">
        <v>0.15</v>
      </c>
      <c r="H90" s="18" t="s">
        <v>51</v>
      </c>
      <c r="I90" s="19">
        <v>0</v>
      </c>
      <c r="J90" s="18" t="s">
        <v>53</v>
      </c>
      <c r="K90" s="19">
        <v>7.4999999999999997E-2</v>
      </c>
      <c r="L90" s="18"/>
      <c r="M90" s="20">
        <v>160</v>
      </c>
      <c r="N90" s="18"/>
      <c r="O90" s="19">
        <v>9.3749999999999997E-3</v>
      </c>
    </row>
    <row r="91" spans="1:15" x14ac:dyDescent="0.25">
      <c r="A91" s="21" t="s">
        <v>61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2">
        <v>170</v>
      </c>
      <c r="N91" s="21"/>
      <c r="O91" s="23">
        <v>9.9609374999999993E-3</v>
      </c>
    </row>
    <row r="93" spans="1:15" x14ac:dyDescent="0.25">
      <c r="A93" s="26" t="s">
        <v>57</v>
      </c>
      <c r="B93" s="44" t="s">
        <v>91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6"/>
    </row>
    <row r="94" spans="1:15" x14ac:dyDescent="0.25">
      <c r="A94" s="27" t="s">
        <v>214</v>
      </c>
      <c r="B94" s="41" t="s">
        <v>65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3"/>
    </row>
    <row r="96" spans="1:15" x14ac:dyDescent="0.25">
      <c r="A96" s="18">
        <v>19</v>
      </c>
      <c r="B96" s="18" t="s">
        <v>92</v>
      </c>
      <c r="C96" s="18"/>
      <c r="D96" s="18"/>
      <c r="E96" s="19">
        <v>0.5</v>
      </c>
      <c r="F96" s="18" t="s">
        <v>49</v>
      </c>
      <c r="G96" s="19">
        <v>0.16666666999999999</v>
      </c>
      <c r="H96" s="18" t="s">
        <v>51</v>
      </c>
      <c r="I96" s="19">
        <v>0.01</v>
      </c>
      <c r="J96" s="18" t="s">
        <v>53</v>
      </c>
      <c r="K96" s="19">
        <v>7.8333340000000001E-2</v>
      </c>
      <c r="L96" s="18"/>
      <c r="M96" s="20">
        <v>80</v>
      </c>
      <c r="N96" s="18"/>
      <c r="O96" s="19">
        <v>4.8958337500000001E-3</v>
      </c>
    </row>
    <row r="97" spans="1:15" x14ac:dyDescent="0.25">
      <c r="A97" s="21" t="s">
        <v>61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2">
        <v>80</v>
      </c>
      <c r="N97" s="21"/>
      <c r="O97" s="23">
        <v>4.8958337500000001E-3</v>
      </c>
    </row>
    <row r="99" spans="1:15" x14ac:dyDescent="0.25">
      <c r="A99" s="26" t="s">
        <v>57</v>
      </c>
      <c r="B99" s="44" t="s">
        <v>93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6"/>
    </row>
    <row r="100" spans="1:15" x14ac:dyDescent="0.25">
      <c r="A100" s="27" t="s">
        <v>214</v>
      </c>
      <c r="B100" s="41" t="s">
        <v>68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3"/>
    </row>
    <row r="102" spans="1:15" x14ac:dyDescent="0.25">
      <c r="A102" s="28">
        <v>2</v>
      </c>
      <c r="B102" s="28" t="s">
        <v>76</v>
      </c>
      <c r="C102" s="28"/>
      <c r="D102" s="28"/>
      <c r="E102" s="29">
        <v>2.1666699999999999E-3</v>
      </c>
      <c r="F102" s="28" t="s">
        <v>49</v>
      </c>
      <c r="G102" s="29">
        <v>0.1875</v>
      </c>
      <c r="H102" s="28" t="s">
        <v>51</v>
      </c>
      <c r="I102" s="29">
        <v>0</v>
      </c>
      <c r="J102" s="28" t="s">
        <v>53</v>
      </c>
      <c r="K102" s="29">
        <v>4.0624999999999998E-4</v>
      </c>
      <c r="L102" s="28"/>
      <c r="M102" s="30">
        <v>0.69040800000000002</v>
      </c>
      <c r="N102" s="28"/>
      <c r="O102" s="29">
        <v>5.0567016601562497E-5</v>
      </c>
    </row>
    <row r="103" spans="1:15" x14ac:dyDescent="0.25">
      <c r="A103" s="28">
        <v>2</v>
      </c>
      <c r="B103" s="28" t="s">
        <v>76</v>
      </c>
      <c r="C103" s="28"/>
      <c r="D103" s="28"/>
      <c r="E103" s="29">
        <v>1.6249999999999999E-4</v>
      </c>
      <c r="F103" s="28" t="s">
        <v>49</v>
      </c>
      <c r="G103" s="29">
        <v>0.1875</v>
      </c>
      <c r="H103" s="28" t="s">
        <v>51</v>
      </c>
      <c r="I103" s="29">
        <v>0</v>
      </c>
      <c r="J103" s="28" t="s">
        <v>53</v>
      </c>
      <c r="K103" s="29">
        <v>3.0470000000000001E-5</v>
      </c>
      <c r="L103" s="28"/>
      <c r="M103" s="30">
        <v>5.1781000000000001E-2</v>
      </c>
      <c r="N103" s="28"/>
      <c r="O103" s="29">
        <v>3.7926818359374999E-6</v>
      </c>
    </row>
    <row r="104" spans="1:15" x14ac:dyDescent="0.25">
      <c r="A104" s="28">
        <v>2</v>
      </c>
      <c r="B104" s="28" t="s">
        <v>76</v>
      </c>
      <c r="C104" s="28"/>
      <c r="D104" s="28"/>
      <c r="E104" s="29">
        <v>2.1666699999999999E-3</v>
      </c>
      <c r="F104" s="28" t="s">
        <v>49</v>
      </c>
      <c r="G104" s="29">
        <v>0.1875</v>
      </c>
      <c r="H104" s="28" t="s">
        <v>51</v>
      </c>
      <c r="I104" s="29">
        <v>0</v>
      </c>
      <c r="J104" s="28" t="s">
        <v>53</v>
      </c>
      <c r="K104" s="29">
        <v>4.0624999999999998E-4</v>
      </c>
      <c r="L104" s="28"/>
      <c r="M104" s="30">
        <v>0.69040900000000005</v>
      </c>
      <c r="N104" s="28"/>
      <c r="O104" s="29">
        <v>5.0567016601562497E-5</v>
      </c>
    </row>
    <row r="105" spans="1:15" x14ac:dyDescent="0.25">
      <c r="A105" s="28">
        <v>2</v>
      </c>
      <c r="B105" s="28" t="s">
        <v>76</v>
      </c>
      <c r="C105" s="28"/>
      <c r="D105" s="28"/>
      <c r="E105" s="29">
        <v>4.8148E-4</v>
      </c>
      <c r="F105" s="28" t="s">
        <v>49</v>
      </c>
      <c r="G105" s="29">
        <v>0.1875</v>
      </c>
      <c r="H105" s="28" t="s">
        <v>51</v>
      </c>
      <c r="I105" s="29">
        <v>0</v>
      </c>
      <c r="J105" s="28" t="s">
        <v>53</v>
      </c>
      <c r="K105" s="29">
        <v>9.0279999999999996E-5</v>
      </c>
      <c r="L105" s="28"/>
      <c r="M105" s="30">
        <v>0.153424</v>
      </c>
      <c r="N105" s="28"/>
      <c r="O105" s="29">
        <v>1.1237391406250001E-5</v>
      </c>
    </row>
    <row r="106" spans="1:15" x14ac:dyDescent="0.25">
      <c r="A106" s="28">
        <v>2</v>
      </c>
      <c r="B106" s="28" t="s">
        <v>76</v>
      </c>
      <c r="C106" s="28"/>
      <c r="D106" s="28"/>
      <c r="E106" s="29">
        <v>4.8148E-4</v>
      </c>
      <c r="F106" s="28" t="s">
        <v>49</v>
      </c>
      <c r="G106" s="29">
        <v>0.1875</v>
      </c>
      <c r="H106" s="28" t="s">
        <v>51</v>
      </c>
      <c r="I106" s="29">
        <v>0</v>
      </c>
      <c r="J106" s="28" t="s">
        <v>53</v>
      </c>
      <c r="K106" s="29">
        <v>9.0279999999999996E-5</v>
      </c>
      <c r="L106" s="28"/>
      <c r="M106" s="30">
        <v>0.153424</v>
      </c>
      <c r="N106" s="28"/>
      <c r="O106" s="29">
        <v>1.1237391406250001E-5</v>
      </c>
    </row>
    <row r="107" spans="1:15" x14ac:dyDescent="0.25">
      <c r="A107" s="28">
        <v>2</v>
      </c>
      <c r="B107" s="28" t="s">
        <v>76</v>
      </c>
      <c r="C107" s="28"/>
      <c r="D107" s="28"/>
      <c r="E107" s="29">
        <v>1.44444E-3</v>
      </c>
      <c r="F107" s="28" t="s">
        <v>49</v>
      </c>
      <c r="G107" s="29">
        <v>0.1875</v>
      </c>
      <c r="H107" s="28" t="s">
        <v>51</v>
      </c>
      <c r="I107" s="29">
        <v>0</v>
      </c>
      <c r="J107" s="28" t="s">
        <v>53</v>
      </c>
      <c r="K107" s="29">
        <v>2.7083000000000001E-4</v>
      </c>
      <c r="L107" s="28"/>
      <c r="M107" s="30">
        <v>0.46027099999999999</v>
      </c>
      <c r="N107" s="28"/>
      <c r="O107" s="29">
        <v>3.3710929492187497E-5</v>
      </c>
    </row>
    <row r="108" spans="1:15" x14ac:dyDescent="0.25">
      <c r="A108" s="28">
        <v>2</v>
      </c>
      <c r="B108" s="28" t="s">
        <v>76</v>
      </c>
      <c r="C108" s="28"/>
      <c r="D108" s="28"/>
      <c r="E108" s="29">
        <v>4.8148E-4</v>
      </c>
      <c r="F108" s="28" t="s">
        <v>49</v>
      </c>
      <c r="G108" s="29">
        <v>0.1875</v>
      </c>
      <c r="H108" s="28" t="s">
        <v>51</v>
      </c>
      <c r="I108" s="29">
        <v>0</v>
      </c>
      <c r="J108" s="28" t="s">
        <v>53</v>
      </c>
      <c r="K108" s="29">
        <v>9.0279999999999996E-5</v>
      </c>
      <c r="L108" s="28"/>
      <c r="M108" s="30">
        <v>0.153424</v>
      </c>
      <c r="N108" s="28"/>
      <c r="O108" s="29">
        <v>1.1237391406250001E-5</v>
      </c>
    </row>
    <row r="109" spans="1:15" x14ac:dyDescent="0.25">
      <c r="A109" s="28">
        <v>2</v>
      </c>
      <c r="B109" s="28" t="s">
        <v>76</v>
      </c>
      <c r="C109" s="28"/>
      <c r="D109" s="28"/>
      <c r="E109" s="29">
        <v>1.44444E-3</v>
      </c>
      <c r="F109" s="28" t="s">
        <v>49</v>
      </c>
      <c r="G109" s="29">
        <v>0.1875</v>
      </c>
      <c r="H109" s="28" t="s">
        <v>51</v>
      </c>
      <c r="I109" s="29">
        <v>0</v>
      </c>
      <c r="J109" s="28" t="s">
        <v>53</v>
      </c>
      <c r="K109" s="29">
        <v>2.7083000000000001E-4</v>
      </c>
      <c r="L109" s="28"/>
      <c r="M109" s="30">
        <v>0.46027099999999999</v>
      </c>
      <c r="N109" s="28"/>
      <c r="O109" s="29">
        <v>3.3710929492187497E-5</v>
      </c>
    </row>
    <row r="110" spans="1:15" x14ac:dyDescent="0.25">
      <c r="A110" s="28">
        <v>2</v>
      </c>
      <c r="B110" s="28" t="s">
        <v>76</v>
      </c>
      <c r="C110" s="28"/>
      <c r="D110" s="28"/>
      <c r="E110" s="29">
        <v>6.6666700000000004E-3</v>
      </c>
      <c r="F110" s="28" t="s">
        <v>49</v>
      </c>
      <c r="G110" s="29">
        <v>0.1875</v>
      </c>
      <c r="H110" s="28" t="s">
        <v>51</v>
      </c>
      <c r="I110" s="29">
        <v>0</v>
      </c>
      <c r="J110" s="28" t="s">
        <v>53</v>
      </c>
      <c r="K110" s="29">
        <v>1.25E-3</v>
      </c>
      <c r="L110" s="28"/>
      <c r="M110" s="30">
        <v>2.1243340000000002</v>
      </c>
      <c r="N110" s="28"/>
      <c r="O110" s="29">
        <v>1.5559082031249999E-4</v>
      </c>
    </row>
    <row r="111" spans="1:15" x14ac:dyDescent="0.25">
      <c r="A111" s="18">
        <v>2</v>
      </c>
      <c r="B111" s="18" t="s">
        <v>76</v>
      </c>
      <c r="C111" s="18"/>
      <c r="D111" s="18"/>
      <c r="E111" s="19">
        <v>2.1666699999999999E-3</v>
      </c>
      <c r="F111" s="18" t="s">
        <v>49</v>
      </c>
      <c r="G111" s="19">
        <v>0.1875</v>
      </c>
      <c r="H111" s="18" t="s">
        <v>51</v>
      </c>
      <c r="I111" s="19">
        <v>0</v>
      </c>
      <c r="J111" s="18" t="s">
        <v>53</v>
      </c>
      <c r="K111" s="19">
        <v>4.0624999999999998E-4</v>
      </c>
      <c r="L111" s="18"/>
      <c r="M111" s="20">
        <v>0.69040900000000005</v>
      </c>
      <c r="N111" s="18"/>
      <c r="O111" s="19">
        <v>5.0567016601562497E-5</v>
      </c>
    </row>
    <row r="112" spans="1:15" x14ac:dyDescent="0.25">
      <c r="A112" s="21" t="s">
        <v>61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2">
        <v>5.6281549999999996</v>
      </c>
      <c r="N112" s="21"/>
      <c r="O112" s="23">
        <v>4.1221858515625001E-4</v>
      </c>
    </row>
    <row r="114" spans="1:15" x14ac:dyDescent="0.25">
      <c r="A114" s="26" t="s">
        <v>57</v>
      </c>
      <c r="B114" s="44" t="s">
        <v>94</v>
      </c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6"/>
    </row>
    <row r="115" spans="1:15" x14ac:dyDescent="0.25">
      <c r="A115" s="27" t="s">
        <v>214</v>
      </c>
      <c r="B115" s="41" t="s">
        <v>95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3"/>
    </row>
    <row r="117" spans="1:15" x14ac:dyDescent="0.25">
      <c r="A117" s="18">
        <v>2</v>
      </c>
      <c r="B117" s="18" t="s">
        <v>33</v>
      </c>
      <c r="C117" s="18"/>
      <c r="D117" s="18"/>
      <c r="E117" s="19">
        <v>3.3333299999999998E-3</v>
      </c>
      <c r="F117" s="18" t="s">
        <v>49</v>
      </c>
      <c r="G117" s="19">
        <v>0.1875</v>
      </c>
      <c r="H117" s="18" t="s">
        <v>51</v>
      </c>
      <c r="I117" s="19">
        <v>0</v>
      </c>
      <c r="J117" s="18" t="s">
        <v>53</v>
      </c>
      <c r="K117" s="19">
        <v>6.2500000000000001E-4</v>
      </c>
      <c r="L117" s="18"/>
      <c r="M117" s="20">
        <v>1.0621659999999999</v>
      </c>
      <c r="N117" s="18"/>
      <c r="O117" s="19">
        <v>7.7795410156249997E-5</v>
      </c>
    </row>
    <row r="118" spans="1:15" x14ac:dyDescent="0.25">
      <c r="A118" s="21" t="s">
        <v>61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2">
        <v>1.0621659999999999</v>
      </c>
      <c r="N118" s="21"/>
      <c r="O118" s="23">
        <v>7.7795410156249997E-5</v>
      </c>
    </row>
    <row r="120" spans="1:15" x14ac:dyDescent="0.25">
      <c r="A120" s="26" t="s">
        <v>57</v>
      </c>
      <c r="B120" s="44" t="s">
        <v>96</v>
      </c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6"/>
    </row>
    <row r="121" spans="1:15" x14ac:dyDescent="0.25">
      <c r="A121" s="27" t="s">
        <v>214</v>
      </c>
      <c r="B121" s="41" t="s">
        <v>97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3"/>
    </row>
    <row r="123" spans="1:15" x14ac:dyDescent="0.25">
      <c r="A123" s="18">
        <v>2</v>
      </c>
      <c r="B123" s="18" t="s">
        <v>33</v>
      </c>
      <c r="C123" s="18"/>
      <c r="D123" s="18"/>
      <c r="E123" s="19">
        <v>3.3333299999999998E-3</v>
      </c>
      <c r="F123" s="18" t="s">
        <v>49</v>
      </c>
      <c r="G123" s="19">
        <v>0.1875</v>
      </c>
      <c r="H123" s="18" t="s">
        <v>51</v>
      </c>
      <c r="I123" s="19">
        <v>0</v>
      </c>
      <c r="J123" s="18" t="s">
        <v>53</v>
      </c>
      <c r="K123" s="19">
        <v>6.2500000000000001E-4</v>
      </c>
      <c r="L123" s="18"/>
      <c r="M123" s="20">
        <v>1.0621659999999999</v>
      </c>
      <c r="N123" s="18"/>
      <c r="O123" s="19">
        <v>7.7795410156249997E-5</v>
      </c>
    </row>
    <row r="124" spans="1:15" x14ac:dyDescent="0.25">
      <c r="A124" s="21" t="s">
        <v>61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2">
        <v>1.0621659999999999</v>
      </c>
      <c r="N124" s="21"/>
      <c r="O124" s="23">
        <v>7.7795410156249997E-5</v>
      </c>
    </row>
    <row r="126" spans="1:15" x14ac:dyDescent="0.25">
      <c r="A126" s="26" t="s">
        <v>57</v>
      </c>
      <c r="B126" s="44" t="s">
        <v>98</v>
      </c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6"/>
    </row>
    <row r="127" spans="1:15" x14ac:dyDescent="0.25">
      <c r="A127" s="27" t="s">
        <v>214</v>
      </c>
      <c r="B127" s="41" t="s">
        <v>99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3"/>
    </row>
    <row r="129" spans="1:15" x14ac:dyDescent="0.25">
      <c r="A129" s="18">
        <v>16</v>
      </c>
      <c r="B129" s="18" t="s">
        <v>73</v>
      </c>
      <c r="C129" s="18" t="s">
        <v>74</v>
      </c>
      <c r="D129" s="18"/>
      <c r="E129" s="19">
        <v>4.1666670000000003E-2</v>
      </c>
      <c r="F129" s="18" t="s">
        <v>49</v>
      </c>
      <c r="G129" s="19">
        <v>0.14285713999999999</v>
      </c>
      <c r="H129" s="18" t="s">
        <v>51</v>
      </c>
      <c r="I129" s="19">
        <v>0</v>
      </c>
      <c r="J129" s="18" t="s">
        <v>53</v>
      </c>
      <c r="K129" s="19">
        <v>5.9523800000000002E-3</v>
      </c>
      <c r="L129" s="18"/>
      <c r="M129" s="20">
        <v>5</v>
      </c>
      <c r="N129" s="18"/>
      <c r="O129" s="19">
        <v>2.7901781250000001E-4</v>
      </c>
    </row>
    <row r="130" spans="1:15" x14ac:dyDescent="0.25">
      <c r="A130" s="21" t="s">
        <v>61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2">
        <v>5</v>
      </c>
      <c r="N130" s="21"/>
      <c r="O130" s="23">
        <v>2.7901781250000001E-4</v>
      </c>
    </row>
    <row r="132" spans="1:15" x14ac:dyDescent="0.25">
      <c r="A132" s="26" t="s">
        <v>57</v>
      </c>
      <c r="B132" s="44" t="s">
        <v>100</v>
      </c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6"/>
    </row>
    <row r="133" spans="1:15" x14ac:dyDescent="0.25">
      <c r="A133" s="27" t="s">
        <v>214</v>
      </c>
      <c r="B133" s="41" t="s">
        <v>68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3"/>
    </row>
    <row r="135" spans="1:15" x14ac:dyDescent="0.25">
      <c r="A135" s="18">
        <v>2</v>
      </c>
      <c r="B135" s="18" t="s">
        <v>60</v>
      </c>
      <c r="C135" s="18"/>
      <c r="D135" s="18"/>
      <c r="E135" s="19">
        <v>3.3333299999999998E-3</v>
      </c>
      <c r="F135" s="18" t="s">
        <v>49</v>
      </c>
      <c r="G135" s="19">
        <v>0.1875</v>
      </c>
      <c r="H135" s="18" t="s">
        <v>51</v>
      </c>
      <c r="I135" s="19">
        <v>0</v>
      </c>
      <c r="J135" s="18" t="s">
        <v>53</v>
      </c>
      <c r="K135" s="19">
        <v>6.2500000000000001E-4</v>
      </c>
      <c r="L135" s="18"/>
      <c r="M135" s="20">
        <v>1.0621659999999999</v>
      </c>
      <c r="N135" s="18"/>
      <c r="O135" s="19">
        <v>7.7795410156249997E-5</v>
      </c>
    </row>
    <row r="136" spans="1:15" x14ac:dyDescent="0.25">
      <c r="A136" s="21" t="s">
        <v>61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2">
        <v>1.0621659999999999</v>
      </c>
      <c r="N136" s="21"/>
      <c r="O136" s="23">
        <v>7.7795410156249997E-5</v>
      </c>
    </row>
    <row r="138" spans="1:15" x14ac:dyDescent="0.25">
      <c r="A138" s="26" t="s">
        <v>57</v>
      </c>
      <c r="B138" s="44" t="s">
        <v>101</v>
      </c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6"/>
    </row>
    <row r="139" spans="1:15" x14ac:dyDescent="0.25">
      <c r="A139" s="27" t="s">
        <v>214</v>
      </c>
      <c r="B139" s="41" t="s">
        <v>102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3"/>
    </row>
    <row r="141" spans="1:15" x14ac:dyDescent="0.25">
      <c r="A141" s="18">
        <v>29</v>
      </c>
      <c r="B141" s="18" t="s">
        <v>103</v>
      </c>
      <c r="C141" s="18"/>
      <c r="D141" s="18"/>
      <c r="E141" s="19">
        <v>0.5</v>
      </c>
      <c r="F141" s="18" t="s">
        <v>49</v>
      </c>
      <c r="G141" s="19">
        <v>0.1875</v>
      </c>
      <c r="H141" s="18" t="s">
        <v>51</v>
      </c>
      <c r="I141" s="19">
        <v>0</v>
      </c>
      <c r="J141" s="18" t="s">
        <v>53</v>
      </c>
      <c r="K141" s="19">
        <v>9.375E-2</v>
      </c>
      <c r="L141" s="18"/>
      <c r="M141" s="20">
        <v>80</v>
      </c>
      <c r="N141" s="18"/>
      <c r="O141" s="19">
        <v>5.859375E-3</v>
      </c>
    </row>
    <row r="142" spans="1:15" x14ac:dyDescent="0.25">
      <c r="A142" s="21" t="s">
        <v>61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2">
        <v>80</v>
      </c>
      <c r="N142" s="21"/>
      <c r="O142" s="23">
        <v>5.859375E-3</v>
      </c>
    </row>
    <row r="144" spans="1:15" x14ac:dyDescent="0.25">
      <c r="A144" s="26" t="s">
        <v>57</v>
      </c>
      <c r="B144" s="44" t="s">
        <v>104</v>
      </c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6"/>
    </row>
    <row r="145" spans="1:15" x14ac:dyDescent="0.25">
      <c r="A145" s="27" t="s">
        <v>214</v>
      </c>
      <c r="B145" s="41" t="s">
        <v>105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3"/>
    </row>
    <row r="147" spans="1:15" x14ac:dyDescent="0.25">
      <c r="A147" s="18">
        <v>16</v>
      </c>
      <c r="B147" s="18" t="s">
        <v>106</v>
      </c>
      <c r="C147" s="18"/>
      <c r="D147" s="18"/>
      <c r="E147" s="19">
        <v>0.125</v>
      </c>
      <c r="F147" s="18" t="s">
        <v>49</v>
      </c>
      <c r="G147" s="19">
        <v>0.14285713999999999</v>
      </c>
      <c r="H147" s="18" t="s">
        <v>51</v>
      </c>
      <c r="I147" s="19">
        <v>0</v>
      </c>
      <c r="J147" s="18" t="s">
        <v>53</v>
      </c>
      <c r="K147" s="19">
        <v>1.7857140000000001E-2</v>
      </c>
      <c r="L147" s="18"/>
      <c r="M147" s="20">
        <v>15</v>
      </c>
      <c r="N147" s="18"/>
      <c r="O147" s="19">
        <v>8.3705343750000002E-4</v>
      </c>
    </row>
    <row r="148" spans="1:15" x14ac:dyDescent="0.25">
      <c r="A148" s="21" t="s">
        <v>61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2">
        <v>15</v>
      </c>
      <c r="N148" s="21"/>
      <c r="O148" s="23">
        <v>8.3705343750000002E-4</v>
      </c>
    </row>
    <row r="150" spans="1:15" x14ac:dyDescent="0.25">
      <c r="A150" s="26" t="s">
        <v>57</v>
      </c>
      <c r="B150" s="44" t="s">
        <v>107</v>
      </c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6"/>
    </row>
    <row r="151" spans="1:15" x14ac:dyDescent="0.25">
      <c r="A151" s="27" t="s">
        <v>214</v>
      </c>
      <c r="B151" s="41" t="s">
        <v>108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3"/>
    </row>
    <row r="153" spans="1:15" x14ac:dyDescent="0.25">
      <c r="A153" s="18">
        <v>16</v>
      </c>
      <c r="B153" s="18" t="s">
        <v>109</v>
      </c>
      <c r="C153" s="18"/>
      <c r="D153" s="18"/>
      <c r="E153" s="19">
        <v>8.3333329999999997E-2</v>
      </c>
      <c r="F153" s="18" t="s">
        <v>49</v>
      </c>
      <c r="G153" s="19">
        <v>0.15</v>
      </c>
      <c r="H153" s="18" t="s">
        <v>51</v>
      </c>
      <c r="I153" s="19">
        <v>0</v>
      </c>
      <c r="J153" s="18" t="s">
        <v>53</v>
      </c>
      <c r="K153" s="19">
        <v>1.2500000000000001E-2</v>
      </c>
      <c r="L153" s="18"/>
      <c r="M153" s="20">
        <v>10</v>
      </c>
      <c r="N153" s="18"/>
      <c r="O153" s="19">
        <v>5.8593750000000009E-4</v>
      </c>
    </row>
    <row r="154" spans="1:15" x14ac:dyDescent="0.25">
      <c r="A154" s="21" t="s">
        <v>61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2">
        <v>10</v>
      </c>
      <c r="N154" s="21"/>
      <c r="O154" s="23">
        <v>5.8593750000000009E-4</v>
      </c>
    </row>
    <row r="156" spans="1:15" x14ac:dyDescent="0.25">
      <c r="A156" s="26" t="s">
        <v>57</v>
      </c>
      <c r="B156" s="44" t="s">
        <v>110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6"/>
    </row>
    <row r="157" spans="1:15" x14ac:dyDescent="0.25">
      <c r="A157" s="27" t="s">
        <v>214</v>
      </c>
      <c r="B157" s="41" t="s">
        <v>111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3"/>
    </row>
    <row r="159" spans="1:15" x14ac:dyDescent="0.25">
      <c r="A159" s="18">
        <v>2</v>
      </c>
      <c r="B159" s="18" t="s">
        <v>33</v>
      </c>
      <c r="C159" s="18"/>
      <c r="D159" s="18"/>
      <c r="E159" s="19">
        <v>3.3333299999999998E-3</v>
      </c>
      <c r="F159" s="18" t="s">
        <v>49</v>
      </c>
      <c r="G159" s="19">
        <v>0.1875</v>
      </c>
      <c r="H159" s="18" t="s">
        <v>51</v>
      </c>
      <c r="I159" s="19">
        <v>0</v>
      </c>
      <c r="J159" s="18" t="s">
        <v>53</v>
      </c>
      <c r="K159" s="19">
        <v>6.2500000000000001E-4</v>
      </c>
      <c r="L159" s="18"/>
      <c r="M159" s="20">
        <v>1.0621659999999999</v>
      </c>
      <c r="N159" s="18"/>
      <c r="O159" s="19">
        <v>7.7795410156249997E-5</v>
      </c>
    </row>
    <row r="160" spans="1:15" x14ac:dyDescent="0.25">
      <c r="A160" s="21" t="s">
        <v>61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2">
        <v>1.0621659999999999</v>
      </c>
      <c r="N160" s="21"/>
      <c r="O160" s="23">
        <v>7.7795410156249997E-5</v>
      </c>
    </row>
    <row r="162" spans="1:15" x14ac:dyDescent="0.25">
      <c r="A162" s="26" t="s">
        <v>57</v>
      </c>
      <c r="B162" s="44" t="s">
        <v>112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6"/>
    </row>
    <row r="163" spans="1:15" x14ac:dyDescent="0.25">
      <c r="A163" s="27" t="s">
        <v>214</v>
      </c>
      <c r="B163" s="41" t="s">
        <v>113</v>
      </c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3"/>
    </row>
    <row r="165" spans="1:15" x14ac:dyDescent="0.25">
      <c r="A165" s="18">
        <v>2</v>
      </c>
      <c r="B165" s="18" t="s">
        <v>37</v>
      </c>
      <c r="C165" s="18"/>
      <c r="D165" s="18"/>
      <c r="E165" s="19">
        <v>2.8571400000000002E-3</v>
      </c>
      <c r="F165" s="18" t="s">
        <v>49</v>
      </c>
      <c r="G165" s="19">
        <v>0.1875</v>
      </c>
      <c r="H165" s="18" t="s">
        <v>51</v>
      </c>
      <c r="I165" s="19">
        <v>0</v>
      </c>
      <c r="J165" s="18" t="s">
        <v>53</v>
      </c>
      <c r="K165" s="19">
        <v>5.3571000000000001E-4</v>
      </c>
      <c r="L165" s="18"/>
      <c r="M165" s="20">
        <v>0.91042800000000002</v>
      </c>
      <c r="N165" s="18"/>
      <c r="O165" s="19">
        <v>6.6681246679687494E-5</v>
      </c>
    </row>
    <row r="166" spans="1:15" x14ac:dyDescent="0.25">
      <c r="A166" s="21" t="s">
        <v>61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2">
        <v>0.91042800000000002</v>
      </c>
      <c r="N166" s="21"/>
      <c r="O166" s="23">
        <v>6.6681246679687494E-5</v>
      </c>
    </row>
    <row r="168" spans="1:15" x14ac:dyDescent="0.25">
      <c r="A168" s="26" t="s">
        <v>57</v>
      </c>
      <c r="B168" s="44" t="s">
        <v>114</v>
      </c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6"/>
    </row>
    <row r="169" spans="1:15" x14ac:dyDescent="0.25">
      <c r="A169" s="27" t="s">
        <v>214</v>
      </c>
      <c r="B169" s="41" t="s">
        <v>115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3"/>
    </row>
    <row r="171" spans="1:15" x14ac:dyDescent="0.25">
      <c r="A171" s="18">
        <v>2</v>
      </c>
      <c r="B171" s="18" t="s">
        <v>29</v>
      </c>
      <c r="C171" s="18"/>
      <c r="D171" s="18"/>
      <c r="E171" s="19">
        <v>1.6666670000000001E-2</v>
      </c>
      <c r="F171" s="18" t="s">
        <v>49</v>
      </c>
      <c r="G171" s="19">
        <v>0.15</v>
      </c>
      <c r="H171" s="18" t="s">
        <v>51</v>
      </c>
      <c r="I171" s="19">
        <v>0</v>
      </c>
      <c r="J171" s="18" t="s">
        <v>53</v>
      </c>
      <c r="K171" s="19">
        <v>2.5000000000000001E-3</v>
      </c>
      <c r="L171" s="18"/>
      <c r="M171" s="20">
        <v>5.3108339999999998</v>
      </c>
      <c r="N171" s="18"/>
      <c r="O171" s="19">
        <v>3.1118164062499999E-4</v>
      </c>
    </row>
    <row r="172" spans="1:15" x14ac:dyDescent="0.25">
      <c r="A172" s="21" t="s">
        <v>61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2">
        <v>5.3108339999999998</v>
      </c>
      <c r="N172" s="21"/>
      <c r="O172" s="23">
        <v>3.1118164062499999E-4</v>
      </c>
    </row>
    <row r="174" spans="1:15" x14ac:dyDescent="0.25">
      <c r="A174" s="26" t="s">
        <v>57</v>
      </c>
      <c r="B174" s="44" t="s">
        <v>116</v>
      </c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6"/>
    </row>
    <row r="175" spans="1:15" x14ac:dyDescent="0.25">
      <c r="A175" s="27" t="s">
        <v>214</v>
      </c>
      <c r="B175" s="41" t="s">
        <v>68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3"/>
    </row>
    <row r="177" spans="1:15" x14ac:dyDescent="0.25">
      <c r="A177" s="18">
        <v>28</v>
      </c>
      <c r="B177" s="18" t="s">
        <v>117</v>
      </c>
      <c r="C177" s="18"/>
      <c r="D177" s="18"/>
      <c r="E177" s="19">
        <v>0.25</v>
      </c>
      <c r="F177" s="18" t="s">
        <v>49</v>
      </c>
      <c r="G177" s="19">
        <v>0.16666666999999999</v>
      </c>
      <c r="H177" s="18" t="s">
        <v>51</v>
      </c>
      <c r="I177" s="19">
        <v>0</v>
      </c>
      <c r="J177" s="18" t="s">
        <v>53</v>
      </c>
      <c r="K177" s="19">
        <v>4.1666660000000001E-2</v>
      </c>
      <c r="L177" s="18"/>
      <c r="M177" s="20">
        <v>120</v>
      </c>
      <c r="N177" s="18"/>
      <c r="O177" s="19">
        <v>7.8124987500000007E-3</v>
      </c>
    </row>
    <row r="178" spans="1:15" x14ac:dyDescent="0.25">
      <c r="A178" s="21" t="s">
        <v>61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2">
        <v>120</v>
      </c>
      <c r="N178" s="21"/>
      <c r="O178" s="23">
        <v>7.8124987500000007E-3</v>
      </c>
    </row>
    <row r="180" spans="1:15" x14ac:dyDescent="0.25">
      <c r="A180" s="26" t="s">
        <v>57</v>
      </c>
      <c r="B180" s="44" t="s">
        <v>118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6"/>
    </row>
    <row r="181" spans="1:15" x14ac:dyDescent="0.25">
      <c r="A181" s="27" t="s">
        <v>214</v>
      </c>
      <c r="B181" s="41" t="s">
        <v>119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3"/>
    </row>
    <row r="183" spans="1:15" x14ac:dyDescent="0.25">
      <c r="A183" s="28">
        <v>15</v>
      </c>
      <c r="B183" s="28" t="s">
        <v>87</v>
      </c>
      <c r="C183" s="28"/>
      <c r="D183" s="28"/>
      <c r="E183" s="29">
        <v>6.25E-2</v>
      </c>
      <c r="F183" s="28" t="s">
        <v>49</v>
      </c>
      <c r="G183" s="29">
        <v>0.15</v>
      </c>
      <c r="H183" s="28" t="s">
        <v>51</v>
      </c>
      <c r="I183" s="29">
        <v>0</v>
      </c>
      <c r="J183" s="28" t="s">
        <v>53</v>
      </c>
      <c r="K183" s="29">
        <v>9.3749999999999997E-3</v>
      </c>
      <c r="L183" s="28"/>
      <c r="M183" s="30">
        <v>2.5</v>
      </c>
      <c r="N183" s="28"/>
      <c r="O183" s="29">
        <v>1.4648437499999999E-4</v>
      </c>
    </row>
    <row r="184" spans="1:15" x14ac:dyDescent="0.25">
      <c r="A184" s="18">
        <v>20</v>
      </c>
      <c r="B184" s="18" t="s">
        <v>87</v>
      </c>
      <c r="C184" s="18"/>
      <c r="D184" s="18"/>
      <c r="E184" s="19">
        <v>0.25</v>
      </c>
      <c r="F184" s="18" t="s">
        <v>49</v>
      </c>
      <c r="G184" s="19">
        <v>0.15</v>
      </c>
      <c r="H184" s="18" t="s">
        <v>51</v>
      </c>
      <c r="I184" s="19">
        <v>0</v>
      </c>
      <c r="J184" s="18" t="s">
        <v>53</v>
      </c>
      <c r="K184" s="19">
        <v>3.7499999999999999E-2</v>
      </c>
      <c r="L184" s="18"/>
      <c r="M184" s="20">
        <v>40</v>
      </c>
      <c r="N184" s="18"/>
      <c r="O184" s="19">
        <v>2.3437499999999999E-3</v>
      </c>
    </row>
    <row r="185" spans="1:15" x14ac:dyDescent="0.25">
      <c r="A185" s="21" t="s">
        <v>61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2">
        <v>42.5</v>
      </c>
      <c r="N185" s="21"/>
      <c r="O185" s="23">
        <v>2.4902343749999998E-3</v>
      </c>
    </row>
    <row r="187" spans="1:15" x14ac:dyDescent="0.25">
      <c r="A187" s="26" t="s">
        <v>57</v>
      </c>
      <c r="B187" s="44" t="s">
        <v>120</v>
      </c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6"/>
    </row>
    <row r="188" spans="1:15" x14ac:dyDescent="0.25">
      <c r="A188" s="27" t="s">
        <v>214</v>
      </c>
      <c r="B188" s="41" t="s">
        <v>68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3"/>
    </row>
    <row r="190" spans="1:15" x14ac:dyDescent="0.25">
      <c r="A190" s="18">
        <v>16</v>
      </c>
      <c r="B190" s="18" t="s">
        <v>121</v>
      </c>
      <c r="C190" s="18"/>
      <c r="D190" s="18"/>
      <c r="E190" s="19">
        <v>0.125</v>
      </c>
      <c r="F190" s="18" t="s">
        <v>49</v>
      </c>
      <c r="G190" s="19">
        <v>0.14285713999999999</v>
      </c>
      <c r="H190" s="18" t="s">
        <v>51</v>
      </c>
      <c r="I190" s="19">
        <v>0</v>
      </c>
      <c r="J190" s="18" t="s">
        <v>53</v>
      </c>
      <c r="K190" s="19">
        <v>1.7857140000000001E-2</v>
      </c>
      <c r="L190" s="18"/>
      <c r="M190" s="20">
        <v>15</v>
      </c>
      <c r="N190" s="18"/>
      <c r="O190" s="19">
        <v>8.3705343750000002E-4</v>
      </c>
    </row>
    <row r="191" spans="1:15" x14ac:dyDescent="0.25">
      <c r="A191" s="21" t="s">
        <v>61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2">
        <v>15</v>
      </c>
      <c r="N191" s="21"/>
      <c r="O191" s="23">
        <v>8.3705343750000002E-4</v>
      </c>
    </row>
    <row r="193" spans="1:15" x14ac:dyDescent="0.25">
      <c r="A193" s="26" t="s">
        <v>57</v>
      </c>
      <c r="B193" s="44" t="s">
        <v>122</v>
      </c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6"/>
    </row>
    <row r="194" spans="1:15" x14ac:dyDescent="0.25">
      <c r="A194" s="27" t="s">
        <v>214</v>
      </c>
      <c r="B194" s="41" t="s">
        <v>123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3"/>
    </row>
    <row r="196" spans="1:15" x14ac:dyDescent="0.25">
      <c r="A196" s="18">
        <v>2</v>
      </c>
      <c r="B196" s="18" t="s">
        <v>33</v>
      </c>
      <c r="C196" s="18"/>
      <c r="D196" s="18"/>
      <c r="E196" s="19">
        <v>3.3333299999999998E-3</v>
      </c>
      <c r="F196" s="18" t="s">
        <v>49</v>
      </c>
      <c r="G196" s="19">
        <v>0.1875</v>
      </c>
      <c r="H196" s="18" t="s">
        <v>51</v>
      </c>
      <c r="I196" s="19">
        <v>0</v>
      </c>
      <c r="J196" s="18" t="s">
        <v>53</v>
      </c>
      <c r="K196" s="19">
        <v>6.2500000000000001E-4</v>
      </c>
      <c r="L196" s="18"/>
      <c r="M196" s="20">
        <v>1.0621659999999999</v>
      </c>
      <c r="N196" s="18"/>
      <c r="O196" s="19">
        <v>7.7795410156249997E-5</v>
      </c>
    </row>
    <row r="197" spans="1:15" x14ac:dyDescent="0.25">
      <c r="A197" s="21" t="s">
        <v>61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2">
        <v>1.0621659999999999</v>
      </c>
      <c r="N197" s="21"/>
      <c r="O197" s="23">
        <v>7.7795410156249997E-5</v>
      </c>
    </row>
    <row r="199" spans="1:15" x14ac:dyDescent="0.25">
      <c r="A199" s="26" t="s">
        <v>57</v>
      </c>
      <c r="B199" s="44" t="s">
        <v>124</v>
      </c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6"/>
    </row>
    <row r="200" spans="1:15" x14ac:dyDescent="0.25">
      <c r="A200" s="27" t="s">
        <v>214</v>
      </c>
      <c r="B200" s="41" t="s">
        <v>68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3"/>
    </row>
    <row r="202" spans="1:15" x14ac:dyDescent="0.25">
      <c r="A202" s="28">
        <v>2</v>
      </c>
      <c r="B202" s="28" t="s">
        <v>125</v>
      </c>
      <c r="C202" s="28"/>
      <c r="D202" s="28"/>
      <c r="E202" s="29">
        <v>1.6666670000000001E-2</v>
      </c>
      <c r="F202" s="28" t="s">
        <v>49</v>
      </c>
      <c r="G202" s="29">
        <v>0.15</v>
      </c>
      <c r="H202" s="28" t="s">
        <v>51</v>
      </c>
      <c r="I202" s="29">
        <v>0</v>
      </c>
      <c r="J202" s="28" t="s">
        <v>53</v>
      </c>
      <c r="K202" s="29">
        <v>2.5000000000000001E-3</v>
      </c>
      <c r="L202" s="28"/>
      <c r="M202" s="30">
        <v>5.3108339999999998</v>
      </c>
      <c r="N202" s="28"/>
      <c r="O202" s="29">
        <v>3.1118164062499999E-4</v>
      </c>
    </row>
    <row r="203" spans="1:15" x14ac:dyDescent="0.25">
      <c r="A203" s="18">
        <v>16</v>
      </c>
      <c r="B203" s="18" t="s">
        <v>126</v>
      </c>
      <c r="C203" s="18"/>
      <c r="D203" s="18"/>
      <c r="E203" s="19">
        <v>4.1666670000000003E-2</v>
      </c>
      <c r="F203" s="18" t="s">
        <v>49</v>
      </c>
      <c r="G203" s="19">
        <v>0.14285713999999999</v>
      </c>
      <c r="H203" s="18" t="s">
        <v>51</v>
      </c>
      <c r="I203" s="19">
        <v>0</v>
      </c>
      <c r="J203" s="18" t="s">
        <v>53</v>
      </c>
      <c r="K203" s="19">
        <v>5.9523800000000002E-3</v>
      </c>
      <c r="L203" s="18"/>
      <c r="M203" s="20">
        <v>5</v>
      </c>
      <c r="N203" s="18"/>
      <c r="O203" s="19">
        <v>2.7901781250000001E-4</v>
      </c>
    </row>
    <row r="204" spans="1:15" x14ac:dyDescent="0.25">
      <c r="A204" s="21" t="s">
        <v>61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2">
        <v>10.310834</v>
      </c>
      <c r="N204" s="21"/>
      <c r="O204" s="23">
        <v>5.90199453125E-4</v>
      </c>
    </row>
    <row r="206" spans="1:15" x14ac:dyDescent="0.25">
      <c r="A206" s="26" t="s">
        <v>57</v>
      </c>
      <c r="B206" s="44" t="s">
        <v>127</v>
      </c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6"/>
    </row>
    <row r="207" spans="1:15" x14ac:dyDescent="0.25">
      <c r="A207" s="27" t="s">
        <v>214</v>
      </c>
      <c r="B207" s="41" t="s">
        <v>128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3"/>
    </row>
    <row r="209" spans="1:15" x14ac:dyDescent="0.25">
      <c r="A209" s="18">
        <v>15</v>
      </c>
      <c r="B209" s="18" t="s">
        <v>31</v>
      </c>
      <c r="C209" s="18"/>
      <c r="D209" s="18"/>
      <c r="E209" s="19">
        <v>0.125</v>
      </c>
      <c r="F209" s="18" t="s">
        <v>49</v>
      </c>
      <c r="G209" s="19">
        <v>0.15</v>
      </c>
      <c r="H209" s="18" t="s">
        <v>51</v>
      </c>
      <c r="I209" s="19">
        <v>0</v>
      </c>
      <c r="J209" s="18" t="s">
        <v>53</v>
      </c>
      <c r="K209" s="19">
        <v>1.8749999999999999E-2</v>
      </c>
      <c r="L209" s="18"/>
      <c r="M209" s="20">
        <v>5</v>
      </c>
      <c r="N209" s="18"/>
      <c r="O209" s="19">
        <v>2.9296874999999999E-4</v>
      </c>
    </row>
    <row r="210" spans="1:15" x14ac:dyDescent="0.25">
      <c r="A210" s="21" t="s">
        <v>61</v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2">
        <v>5</v>
      </c>
      <c r="N210" s="21"/>
      <c r="O210" s="23">
        <v>2.9296874999999999E-4</v>
      </c>
    </row>
    <row r="212" spans="1:15" x14ac:dyDescent="0.25">
      <c r="A212" s="26" t="s">
        <v>57</v>
      </c>
      <c r="B212" s="44" t="s">
        <v>129</v>
      </c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6"/>
    </row>
    <row r="213" spans="1:15" x14ac:dyDescent="0.25">
      <c r="A213" s="27" t="s">
        <v>214</v>
      </c>
      <c r="B213" s="41" t="s">
        <v>130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3"/>
    </row>
    <row r="215" spans="1:15" x14ac:dyDescent="0.25">
      <c r="A215" s="18">
        <v>2</v>
      </c>
      <c r="B215" s="18" t="s">
        <v>33</v>
      </c>
      <c r="C215" s="18"/>
      <c r="D215" s="18"/>
      <c r="E215" s="19">
        <v>3.3333299999999998E-3</v>
      </c>
      <c r="F215" s="18" t="s">
        <v>49</v>
      </c>
      <c r="G215" s="19">
        <v>0.1875</v>
      </c>
      <c r="H215" s="18" t="s">
        <v>51</v>
      </c>
      <c r="I215" s="19">
        <v>0</v>
      </c>
      <c r="J215" s="18" t="s">
        <v>53</v>
      </c>
      <c r="K215" s="19">
        <v>6.2500000000000001E-4</v>
      </c>
      <c r="L215" s="18"/>
      <c r="M215" s="20">
        <v>1.0621659999999999</v>
      </c>
      <c r="N215" s="18"/>
      <c r="O215" s="19">
        <v>7.7795410156249997E-5</v>
      </c>
    </row>
    <row r="216" spans="1:15" x14ac:dyDescent="0.25">
      <c r="A216" s="21" t="s">
        <v>61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2">
        <v>1.0621659999999999</v>
      </c>
      <c r="N216" s="21"/>
      <c r="O216" s="23">
        <v>7.7795410156249997E-5</v>
      </c>
    </row>
    <row r="218" spans="1:15" x14ac:dyDescent="0.25">
      <c r="A218" s="26" t="s">
        <v>57</v>
      </c>
      <c r="B218" s="44" t="s">
        <v>131</v>
      </c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6"/>
    </row>
    <row r="219" spans="1:15" x14ac:dyDescent="0.25">
      <c r="A219" s="27" t="s">
        <v>214</v>
      </c>
      <c r="B219" s="41" t="s">
        <v>68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3"/>
    </row>
    <row r="221" spans="1:15" x14ac:dyDescent="0.25">
      <c r="A221" s="28">
        <v>2</v>
      </c>
      <c r="B221" s="28" t="s">
        <v>76</v>
      </c>
      <c r="C221" s="28"/>
      <c r="D221" s="28"/>
      <c r="E221" s="29">
        <v>4.1667000000000001E-4</v>
      </c>
      <c r="F221" s="28" t="s">
        <v>49</v>
      </c>
      <c r="G221" s="29">
        <v>0.1875</v>
      </c>
      <c r="H221" s="28" t="s">
        <v>51</v>
      </c>
      <c r="I221" s="29">
        <v>0</v>
      </c>
      <c r="J221" s="28" t="s">
        <v>53</v>
      </c>
      <c r="K221" s="29">
        <v>7.8129999999999999E-5</v>
      </c>
      <c r="L221" s="28"/>
      <c r="M221" s="30">
        <v>0.132772</v>
      </c>
      <c r="N221" s="28"/>
      <c r="O221" s="29">
        <v>9.7250486328124997E-6</v>
      </c>
    </row>
    <row r="222" spans="1:15" x14ac:dyDescent="0.25">
      <c r="A222" s="28">
        <v>2</v>
      </c>
      <c r="B222" s="28" t="s">
        <v>76</v>
      </c>
      <c r="C222" s="28"/>
      <c r="D222" s="28"/>
      <c r="E222" s="29">
        <v>2.7777999999999999E-4</v>
      </c>
      <c r="F222" s="28" t="s">
        <v>49</v>
      </c>
      <c r="G222" s="29">
        <v>0.1875</v>
      </c>
      <c r="H222" s="28" t="s">
        <v>51</v>
      </c>
      <c r="I222" s="29">
        <v>0</v>
      </c>
      <c r="J222" s="28" t="s">
        <v>53</v>
      </c>
      <c r="K222" s="29">
        <v>5.2080000000000003E-5</v>
      </c>
      <c r="L222" s="28"/>
      <c r="M222" s="30">
        <v>8.8514999999999996E-2</v>
      </c>
      <c r="N222" s="28"/>
      <c r="O222" s="29">
        <v>6.4825359374999997E-6</v>
      </c>
    </row>
    <row r="223" spans="1:15" x14ac:dyDescent="0.25">
      <c r="A223" s="28">
        <v>2</v>
      </c>
      <c r="B223" s="28" t="s">
        <v>76</v>
      </c>
      <c r="C223" s="28"/>
      <c r="D223" s="28"/>
      <c r="E223" s="29">
        <v>3.1250000000000001E-5</v>
      </c>
      <c r="F223" s="28" t="s">
        <v>49</v>
      </c>
      <c r="G223" s="29">
        <v>0.1875</v>
      </c>
      <c r="H223" s="28" t="s">
        <v>51</v>
      </c>
      <c r="I223" s="29">
        <v>0</v>
      </c>
      <c r="J223" s="28" t="s">
        <v>53</v>
      </c>
      <c r="K223" s="29">
        <v>5.8599999999999998E-6</v>
      </c>
      <c r="L223" s="28"/>
      <c r="M223" s="30">
        <v>9.9579999999999998E-3</v>
      </c>
      <c r="N223" s="28"/>
      <c r="O223" s="29">
        <v>7.294097656249999E-7</v>
      </c>
    </row>
    <row r="224" spans="1:15" x14ac:dyDescent="0.25">
      <c r="A224" s="28">
        <v>2</v>
      </c>
      <c r="B224" s="28" t="s">
        <v>76</v>
      </c>
      <c r="C224" s="28"/>
      <c r="D224" s="28"/>
      <c r="E224" s="29">
        <v>2.7777999999999999E-4</v>
      </c>
      <c r="F224" s="28" t="s">
        <v>49</v>
      </c>
      <c r="G224" s="29">
        <v>0.1875</v>
      </c>
      <c r="H224" s="28" t="s">
        <v>51</v>
      </c>
      <c r="I224" s="29">
        <v>0</v>
      </c>
      <c r="J224" s="28" t="s">
        <v>53</v>
      </c>
      <c r="K224" s="29">
        <v>5.2080000000000003E-5</v>
      </c>
      <c r="L224" s="28"/>
      <c r="M224" s="30">
        <v>8.8514999999999996E-2</v>
      </c>
      <c r="N224" s="28"/>
      <c r="O224" s="29">
        <v>6.4825359374999997E-6</v>
      </c>
    </row>
    <row r="225" spans="1:15" x14ac:dyDescent="0.25">
      <c r="A225" s="28">
        <v>2</v>
      </c>
      <c r="B225" s="28" t="s">
        <v>76</v>
      </c>
      <c r="C225" s="28"/>
      <c r="D225" s="28"/>
      <c r="E225" s="29">
        <v>9.2590000000000006E-5</v>
      </c>
      <c r="F225" s="28" t="s">
        <v>49</v>
      </c>
      <c r="G225" s="29">
        <v>0.1875</v>
      </c>
      <c r="H225" s="28" t="s">
        <v>51</v>
      </c>
      <c r="I225" s="29">
        <v>0</v>
      </c>
      <c r="J225" s="28" t="s">
        <v>53</v>
      </c>
      <c r="K225" s="29">
        <v>1.736E-5</v>
      </c>
      <c r="L225" s="28"/>
      <c r="M225" s="30">
        <v>2.9503999999999999E-2</v>
      </c>
      <c r="N225" s="28"/>
      <c r="O225" s="29">
        <v>2.1608453124999999E-6</v>
      </c>
    </row>
    <row r="226" spans="1:15" x14ac:dyDescent="0.25">
      <c r="A226" s="28">
        <v>2</v>
      </c>
      <c r="B226" s="28" t="s">
        <v>76</v>
      </c>
      <c r="C226" s="28"/>
      <c r="D226" s="28"/>
      <c r="E226" s="29">
        <v>4.1667000000000001E-4</v>
      </c>
      <c r="F226" s="28" t="s">
        <v>49</v>
      </c>
      <c r="G226" s="29">
        <v>0.1875</v>
      </c>
      <c r="H226" s="28" t="s">
        <v>51</v>
      </c>
      <c r="I226" s="29">
        <v>0</v>
      </c>
      <c r="J226" s="28" t="s">
        <v>53</v>
      </c>
      <c r="K226" s="29">
        <v>7.8129999999999999E-5</v>
      </c>
      <c r="L226" s="28"/>
      <c r="M226" s="30">
        <v>0.132772</v>
      </c>
      <c r="N226" s="28"/>
      <c r="O226" s="29">
        <v>9.7250486328124997E-6</v>
      </c>
    </row>
    <row r="227" spans="1:15" x14ac:dyDescent="0.25">
      <c r="A227" s="28">
        <v>2</v>
      </c>
      <c r="B227" s="28" t="s">
        <v>76</v>
      </c>
      <c r="C227" s="28"/>
      <c r="D227" s="28"/>
      <c r="E227" s="29">
        <v>9.2590000000000006E-5</v>
      </c>
      <c r="F227" s="28" t="s">
        <v>49</v>
      </c>
      <c r="G227" s="29">
        <v>0.1875</v>
      </c>
      <c r="H227" s="28" t="s">
        <v>51</v>
      </c>
      <c r="I227" s="29">
        <v>0</v>
      </c>
      <c r="J227" s="28" t="s">
        <v>53</v>
      </c>
      <c r="K227" s="29">
        <v>1.736E-5</v>
      </c>
      <c r="L227" s="28"/>
      <c r="M227" s="30">
        <v>2.9503999999999999E-2</v>
      </c>
      <c r="N227" s="28"/>
      <c r="O227" s="29">
        <v>2.1608453124999999E-6</v>
      </c>
    </row>
    <row r="228" spans="1:15" x14ac:dyDescent="0.25">
      <c r="A228" s="28">
        <v>2</v>
      </c>
      <c r="B228" s="28" t="s">
        <v>76</v>
      </c>
      <c r="C228" s="28"/>
      <c r="D228" s="28"/>
      <c r="E228" s="29">
        <v>9.2590000000000006E-5</v>
      </c>
      <c r="F228" s="28" t="s">
        <v>49</v>
      </c>
      <c r="G228" s="29">
        <v>0.1875</v>
      </c>
      <c r="H228" s="28" t="s">
        <v>51</v>
      </c>
      <c r="I228" s="29">
        <v>0</v>
      </c>
      <c r="J228" s="28" t="s">
        <v>53</v>
      </c>
      <c r="K228" s="29">
        <v>1.736E-5</v>
      </c>
      <c r="L228" s="28"/>
      <c r="M228" s="30">
        <v>2.9503999999999999E-2</v>
      </c>
      <c r="N228" s="28"/>
      <c r="O228" s="29">
        <v>2.1608453124999999E-6</v>
      </c>
    </row>
    <row r="229" spans="1:15" x14ac:dyDescent="0.25">
      <c r="A229" s="28">
        <v>2</v>
      </c>
      <c r="B229" s="28" t="s">
        <v>76</v>
      </c>
      <c r="C229" s="28"/>
      <c r="D229" s="28"/>
      <c r="E229" s="29">
        <v>4.1667000000000001E-4</v>
      </c>
      <c r="F229" s="28" t="s">
        <v>49</v>
      </c>
      <c r="G229" s="29">
        <v>0.1875</v>
      </c>
      <c r="H229" s="28" t="s">
        <v>51</v>
      </c>
      <c r="I229" s="29">
        <v>0</v>
      </c>
      <c r="J229" s="28" t="s">
        <v>53</v>
      </c>
      <c r="K229" s="29">
        <v>7.8129999999999999E-5</v>
      </c>
      <c r="L229" s="28"/>
      <c r="M229" s="30">
        <v>0.132771</v>
      </c>
      <c r="N229" s="28"/>
      <c r="O229" s="29">
        <v>9.7250486328124997E-6</v>
      </c>
    </row>
    <row r="230" spans="1:15" x14ac:dyDescent="0.25">
      <c r="A230" s="28">
        <v>2</v>
      </c>
      <c r="B230" s="28" t="s">
        <v>76</v>
      </c>
      <c r="C230" s="28"/>
      <c r="D230" s="28"/>
      <c r="E230" s="29">
        <v>1.25E-3</v>
      </c>
      <c r="F230" s="28" t="s">
        <v>49</v>
      </c>
      <c r="G230" s="29">
        <v>0.1875</v>
      </c>
      <c r="H230" s="28" t="s">
        <v>51</v>
      </c>
      <c r="I230" s="29">
        <v>0</v>
      </c>
      <c r="J230" s="28" t="s">
        <v>53</v>
      </c>
      <c r="K230" s="29">
        <v>2.3437999999999999E-4</v>
      </c>
      <c r="L230" s="28"/>
      <c r="M230" s="30">
        <v>0.39831299999999997</v>
      </c>
      <c r="N230" s="28"/>
      <c r="O230" s="29">
        <v>2.9173901171875001E-5</v>
      </c>
    </row>
    <row r="231" spans="1:15" x14ac:dyDescent="0.25">
      <c r="A231" s="18">
        <v>16</v>
      </c>
      <c r="B231" s="18" t="s">
        <v>60</v>
      </c>
      <c r="C231" s="18"/>
      <c r="D231" s="18"/>
      <c r="E231" s="19">
        <v>2.0000000000000001E-4</v>
      </c>
      <c r="F231" s="18" t="s">
        <v>49</v>
      </c>
      <c r="G231" s="19">
        <v>0.15</v>
      </c>
      <c r="H231" s="18" t="s">
        <v>51</v>
      </c>
      <c r="I231" s="19">
        <v>0</v>
      </c>
      <c r="J231" s="18" t="s">
        <v>53</v>
      </c>
      <c r="K231" s="19">
        <v>3.0000000000000001E-5</v>
      </c>
      <c r="L231" s="18"/>
      <c r="M231" s="20">
        <v>2.4E-2</v>
      </c>
      <c r="N231" s="18"/>
      <c r="O231" s="19">
        <v>1.4062500000000001E-6</v>
      </c>
    </row>
    <row r="232" spans="1:15" x14ac:dyDescent="0.25">
      <c r="A232" s="21" t="s">
        <v>61</v>
      </c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2">
        <v>1.096128</v>
      </c>
      <c r="N232" s="21"/>
      <c r="O232" s="23">
        <v>7.9932314648437493E-5</v>
      </c>
    </row>
    <row r="234" spans="1:15" x14ac:dyDescent="0.25">
      <c r="A234" s="26" t="s">
        <v>57</v>
      </c>
      <c r="B234" s="44" t="s">
        <v>132</v>
      </c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6"/>
    </row>
    <row r="235" spans="1:15" x14ac:dyDescent="0.25">
      <c r="A235" s="27" t="s">
        <v>214</v>
      </c>
      <c r="B235" s="41" t="s">
        <v>68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3"/>
    </row>
    <row r="237" spans="1:15" x14ac:dyDescent="0.25">
      <c r="A237" s="18">
        <v>2</v>
      </c>
      <c r="B237" s="18" t="s">
        <v>39</v>
      </c>
      <c r="C237" s="18"/>
      <c r="D237" s="18"/>
      <c r="E237" s="19">
        <v>0.02</v>
      </c>
      <c r="F237" s="18" t="s">
        <v>49</v>
      </c>
      <c r="G237" s="19">
        <v>0.1875</v>
      </c>
      <c r="H237" s="18" t="s">
        <v>51</v>
      </c>
      <c r="I237" s="19">
        <v>0</v>
      </c>
      <c r="J237" s="18" t="s">
        <v>53</v>
      </c>
      <c r="K237" s="19">
        <v>3.7499999999999999E-3</v>
      </c>
      <c r="L237" s="18"/>
      <c r="M237" s="20">
        <v>6.3730000000000002</v>
      </c>
      <c r="N237" s="18"/>
      <c r="O237" s="19">
        <v>4.6677246093749998E-4</v>
      </c>
    </row>
    <row r="238" spans="1:15" x14ac:dyDescent="0.25">
      <c r="A238" s="21" t="s">
        <v>61</v>
      </c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2">
        <v>6.3730000000000002</v>
      </c>
      <c r="N238" s="21"/>
      <c r="O238" s="23">
        <v>4.6677246093749998E-4</v>
      </c>
    </row>
    <row r="240" spans="1:15" x14ac:dyDescent="0.25">
      <c r="A240" s="26" t="s">
        <v>57</v>
      </c>
      <c r="B240" s="44" t="s">
        <v>133</v>
      </c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6"/>
    </row>
    <row r="241" spans="1:15" x14ac:dyDescent="0.25">
      <c r="A241" s="27" t="s">
        <v>214</v>
      </c>
      <c r="B241" s="41" t="s">
        <v>134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3"/>
    </row>
    <row r="243" spans="1:15" x14ac:dyDescent="0.25">
      <c r="A243" s="18">
        <v>2</v>
      </c>
      <c r="B243" s="18" t="s">
        <v>37</v>
      </c>
      <c r="C243" s="18"/>
      <c r="D243" s="18"/>
      <c r="E243" s="19">
        <v>2.8571400000000002E-3</v>
      </c>
      <c r="F243" s="18" t="s">
        <v>49</v>
      </c>
      <c r="G243" s="19">
        <v>0.1875</v>
      </c>
      <c r="H243" s="18" t="s">
        <v>51</v>
      </c>
      <c r="I243" s="19">
        <v>0</v>
      </c>
      <c r="J243" s="18" t="s">
        <v>53</v>
      </c>
      <c r="K243" s="19">
        <v>5.3571000000000001E-4</v>
      </c>
      <c r="L243" s="18"/>
      <c r="M243" s="20">
        <v>0.91042800000000002</v>
      </c>
      <c r="N243" s="18"/>
      <c r="O243" s="19">
        <v>6.6681246679687494E-5</v>
      </c>
    </row>
    <row r="244" spans="1:15" x14ac:dyDescent="0.25">
      <c r="A244" s="21" t="s">
        <v>61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2">
        <v>0.91042800000000002</v>
      </c>
      <c r="N244" s="21"/>
      <c r="O244" s="23">
        <v>6.6681246679687494E-5</v>
      </c>
    </row>
    <row r="246" spans="1:15" x14ac:dyDescent="0.25">
      <c r="A246" s="26" t="s">
        <v>57</v>
      </c>
      <c r="B246" s="44" t="s">
        <v>135</v>
      </c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6"/>
    </row>
    <row r="247" spans="1:15" x14ac:dyDescent="0.25">
      <c r="A247" s="27" t="s">
        <v>214</v>
      </c>
      <c r="B247" s="41" t="s">
        <v>136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3"/>
    </row>
    <row r="249" spans="1:15" x14ac:dyDescent="0.25">
      <c r="A249" s="18">
        <v>2</v>
      </c>
      <c r="B249" s="18" t="s">
        <v>137</v>
      </c>
      <c r="C249" s="18"/>
      <c r="D249" s="18"/>
      <c r="E249" s="19">
        <v>7.4999999999999997E-2</v>
      </c>
      <c r="F249" s="18" t="s">
        <v>49</v>
      </c>
      <c r="G249" s="19">
        <v>0.16666666999999999</v>
      </c>
      <c r="H249" s="18" t="s">
        <v>51</v>
      </c>
      <c r="I249" s="19">
        <v>0</v>
      </c>
      <c r="J249" s="18" t="s">
        <v>53</v>
      </c>
      <c r="K249" s="19">
        <v>1.2500000000000001E-2</v>
      </c>
      <c r="L249" s="18"/>
      <c r="M249" s="20">
        <v>23.89875</v>
      </c>
      <c r="N249" s="18"/>
      <c r="O249" s="19">
        <v>1.5559082031250001E-3</v>
      </c>
    </row>
    <row r="250" spans="1:15" x14ac:dyDescent="0.25">
      <c r="A250" s="21" t="s">
        <v>61</v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2">
        <v>23.89875</v>
      </c>
      <c r="N250" s="21"/>
      <c r="O250" s="23">
        <v>1.5559082031250001E-3</v>
      </c>
    </row>
    <row r="252" spans="1:15" x14ac:dyDescent="0.25">
      <c r="A252" s="26" t="s">
        <v>57</v>
      </c>
      <c r="B252" s="44" t="s">
        <v>138</v>
      </c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6"/>
    </row>
    <row r="253" spans="1:15" x14ac:dyDescent="0.25">
      <c r="A253" s="27" t="s">
        <v>214</v>
      </c>
      <c r="B253" s="41" t="s">
        <v>139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3"/>
    </row>
    <row r="255" spans="1:15" x14ac:dyDescent="0.25">
      <c r="A255" s="18">
        <v>14</v>
      </c>
      <c r="B255" s="18" t="s">
        <v>140</v>
      </c>
      <c r="C255" s="18"/>
      <c r="D255" s="18"/>
      <c r="E255" s="19">
        <v>1</v>
      </c>
      <c r="F255" s="18" t="s">
        <v>49</v>
      </c>
      <c r="G255" s="19">
        <v>0.15</v>
      </c>
      <c r="H255" s="18" t="s">
        <v>51</v>
      </c>
      <c r="I255" s="19">
        <v>0</v>
      </c>
      <c r="J255" s="18" t="s">
        <v>53</v>
      </c>
      <c r="K255" s="19">
        <v>0.15</v>
      </c>
      <c r="L255" s="18"/>
      <c r="M255" s="20">
        <v>240</v>
      </c>
      <c r="N255" s="18"/>
      <c r="O255" s="19">
        <v>1.40625E-2</v>
      </c>
    </row>
    <row r="256" spans="1:15" x14ac:dyDescent="0.25">
      <c r="A256" s="21" t="s">
        <v>61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2">
        <v>240</v>
      </c>
      <c r="N256" s="21"/>
      <c r="O256" s="23">
        <v>1.40625E-2</v>
      </c>
    </row>
    <row r="258" spans="1:15" x14ac:dyDescent="0.25">
      <c r="A258" s="26" t="s">
        <v>57</v>
      </c>
      <c r="B258" s="44" t="s">
        <v>141</v>
      </c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6"/>
    </row>
    <row r="259" spans="1:15" x14ac:dyDescent="0.25">
      <c r="A259" s="27" t="s">
        <v>214</v>
      </c>
      <c r="B259" s="41" t="s">
        <v>68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3"/>
    </row>
    <row r="261" spans="1:15" x14ac:dyDescent="0.25">
      <c r="A261" s="28">
        <v>2</v>
      </c>
      <c r="B261" s="28" t="s">
        <v>76</v>
      </c>
      <c r="C261" s="28"/>
      <c r="D261" s="28"/>
      <c r="E261" s="29">
        <v>4.1667000000000001E-4</v>
      </c>
      <c r="F261" s="28" t="s">
        <v>49</v>
      </c>
      <c r="G261" s="29">
        <v>0.1875</v>
      </c>
      <c r="H261" s="28" t="s">
        <v>51</v>
      </c>
      <c r="I261" s="29">
        <v>0</v>
      </c>
      <c r="J261" s="28" t="s">
        <v>53</v>
      </c>
      <c r="K261" s="29">
        <v>7.8129999999999999E-5</v>
      </c>
      <c r="L261" s="28"/>
      <c r="M261" s="30">
        <v>0.132772</v>
      </c>
      <c r="N261" s="28"/>
      <c r="O261" s="29">
        <v>9.7250486328124997E-6</v>
      </c>
    </row>
    <row r="262" spans="1:15" x14ac:dyDescent="0.25">
      <c r="A262" s="28">
        <v>2</v>
      </c>
      <c r="B262" s="28" t="s">
        <v>76</v>
      </c>
      <c r="C262" s="28"/>
      <c r="D262" s="28"/>
      <c r="E262" s="29">
        <v>2.7777999999999999E-4</v>
      </c>
      <c r="F262" s="28" t="s">
        <v>49</v>
      </c>
      <c r="G262" s="29">
        <v>0.1875</v>
      </c>
      <c r="H262" s="28" t="s">
        <v>51</v>
      </c>
      <c r="I262" s="29">
        <v>0</v>
      </c>
      <c r="J262" s="28" t="s">
        <v>53</v>
      </c>
      <c r="K262" s="29">
        <v>5.2080000000000003E-5</v>
      </c>
      <c r="L262" s="28"/>
      <c r="M262" s="30">
        <v>8.8514999999999996E-2</v>
      </c>
      <c r="N262" s="28"/>
      <c r="O262" s="29">
        <v>6.4825359374999997E-6</v>
      </c>
    </row>
    <row r="263" spans="1:15" x14ac:dyDescent="0.25">
      <c r="A263" s="28">
        <v>2</v>
      </c>
      <c r="B263" s="28" t="s">
        <v>76</v>
      </c>
      <c r="C263" s="28"/>
      <c r="D263" s="28"/>
      <c r="E263" s="29">
        <v>1.25E-3</v>
      </c>
      <c r="F263" s="28" t="s">
        <v>49</v>
      </c>
      <c r="G263" s="29">
        <v>0.1875</v>
      </c>
      <c r="H263" s="28" t="s">
        <v>51</v>
      </c>
      <c r="I263" s="29">
        <v>0</v>
      </c>
      <c r="J263" s="28" t="s">
        <v>53</v>
      </c>
      <c r="K263" s="29">
        <v>2.3437999999999999E-4</v>
      </c>
      <c r="L263" s="28"/>
      <c r="M263" s="30">
        <v>0.39831299999999997</v>
      </c>
      <c r="N263" s="28"/>
      <c r="O263" s="29">
        <v>2.9173901171875001E-5</v>
      </c>
    </row>
    <row r="264" spans="1:15" x14ac:dyDescent="0.25">
      <c r="A264" s="28">
        <v>2</v>
      </c>
      <c r="B264" s="28" t="s">
        <v>76</v>
      </c>
      <c r="C264" s="28"/>
      <c r="D264" s="28"/>
      <c r="E264" s="29">
        <v>9.2590000000000006E-5</v>
      </c>
      <c r="F264" s="28" t="s">
        <v>49</v>
      </c>
      <c r="G264" s="29">
        <v>0.1875</v>
      </c>
      <c r="H264" s="28" t="s">
        <v>51</v>
      </c>
      <c r="I264" s="29">
        <v>0</v>
      </c>
      <c r="J264" s="28" t="s">
        <v>53</v>
      </c>
      <c r="K264" s="29">
        <v>1.736E-5</v>
      </c>
      <c r="L264" s="28"/>
      <c r="M264" s="30">
        <v>2.9503999999999999E-2</v>
      </c>
      <c r="N264" s="28"/>
      <c r="O264" s="29">
        <v>2.1608453124999999E-6</v>
      </c>
    </row>
    <row r="265" spans="1:15" x14ac:dyDescent="0.25">
      <c r="A265" s="28">
        <v>2</v>
      </c>
      <c r="B265" s="28" t="s">
        <v>76</v>
      </c>
      <c r="C265" s="28"/>
      <c r="D265" s="28"/>
      <c r="E265" s="29">
        <v>3.1250000000000001E-5</v>
      </c>
      <c r="F265" s="28" t="s">
        <v>49</v>
      </c>
      <c r="G265" s="29">
        <v>0.1875</v>
      </c>
      <c r="H265" s="28" t="s">
        <v>51</v>
      </c>
      <c r="I265" s="29">
        <v>0</v>
      </c>
      <c r="J265" s="28" t="s">
        <v>53</v>
      </c>
      <c r="K265" s="29">
        <v>5.8599999999999998E-6</v>
      </c>
      <c r="L265" s="28"/>
      <c r="M265" s="30">
        <v>9.9579999999999998E-3</v>
      </c>
      <c r="N265" s="28"/>
      <c r="O265" s="29">
        <v>7.294097656249999E-7</v>
      </c>
    </row>
    <row r="266" spans="1:15" x14ac:dyDescent="0.25">
      <c r="A266" s="28">
        <v>2</v>
      </c>
      <c r="B266" s="28" t="s">
        <v>76</v>
      </c>
      <c r="C266" s="28"/>
      <c r="D266" s="28"/>
      <c r="E266" s="29">
        <v>2.7777999999999999E-4</v>
      </c>
      <c r="F266" s="28" t="s">
        <v>49</v>
      </c>
      <c r="G266" s="29">
        <v>0.1875</v>
      </c>
      <c r="H266" s="28" t="s">
        <v>51</v>
      </c>
      <c r="I266" s="29">
        <v>0</v>
      </c>
      <c r="J266" s="28" t="s">
        <v>53</v>
      </c>
      <c r="K266" s="29">
        <v>5.2080000000000003E-5</v>
      </c>
      <c r="L266" s="28"/>
      <c r="M266" s="30">
        <v>8.8514999999999996E-2</v>
      </c>
      <c r="N266" s="28"/>
      <c r="O266" s="29">
        <v>6.4825359374999997E-6</v>
      </c>
    </row>
    <row r="267" spans="1:15" x14ac:dyDescent="0.25">
      <c r="A267" s="28">
        <v>2</v>
      </c>
      <c r="B267" s="28" t="s">
        <v>76</v>
      </c>
      <c r="C267" s="28"/>
      <c r="D267" s="28"/>
      <c r="E267" s="29">
        <v>4.1667000000000001E-4</v>
      </c>
      <c r="F267" s="28" t="s">
        <v>49</v>
      </c>
      <c r="G267" s="29">
        <v>0.1875</v>
      </c>
      <c r="H267" s="28" t="s">
        <v>51</v>
      </c>
      <c r="I267" s="29">
        <v>0</v>
      </c>
      <c r="J267" s="28" t="s">
        <v>53</v>
      </c>
      <c r="K267" s="29">
        <v>7.8129999999999999E-5</v>
      </c>
      <c r="L267" s="28"/>
      <c r="M267" s="30">
        <v>0.132771</v>
      </c>
      <c r="N267" s="28"/>
      <c r="O267" s="29">
        <v>9.7250486328124997E-6</v>
      </c>
    </row>
    <row r="268" spans="1:15" x14ac:dyDescent="0.25">
      <c r="A268" s="28">
        <v>2</v>
      </c>
      <c r="B268" s="28" t="s">
        <v>76</v>
      </c>
      <c r="C268" s="28"/>
      <c r="D268" s="28"/>
      <c r="E268" s="29">
        <v>4.1667000000000001E-4</v>
      </c>
      <c r="F268" s="28" t="s">
        <v>49</v>
      </c>
      <c r="G268" s="29">
        <v>0.1875</v>
      </c>
      <c r="H268" s="28" t="s">
        <v>51</v>
      </c>
      <c r="I268" s="29">
        <v>0</v>
      </c>
      <c r="J268" s="28" t="s">
        <v>53</v>
      </c>
      <c r="K268" s="29">
        <v>7.8129999999999999E-5</v>
      </c>
      <c r="L268" s="28"/>
      <c r="M268" s="30">
        <v>0.132772</v>
      </c>
      <c r="N268" s="28"/>
      <c r="O268" s="29">
        <v>9.7250486328124997E-6</v>
      </c>
    </row>
    <row r="269" spans="1:15" x14ac:dyDescent="0.25">
      <c r="A269" s="28">
        <v>2</v>
      </c>
      <c r="B269" s="28" t="s">
        <v>76</v>
      </c>
      <c r="C269" s="28"/>
      <c r="D269" s="28"/>
      <c r="E269" s="29">
        <v>9.2590000000000006E-5</v>
      </c>
      <c r="F269" s="28" t="s">
        <v>49</v>
      </c>
      <c r="G269" s="29">
        <v>0.1875</v>
      </c>
      <c r="H269" s="28" t="s">
        <v>51</v>
      </c>
      <c r="I269" s="29">
        <v>0</v>
      </c>
      <c r="J269" s="28" t="s">
        <v>53</v>
      </c>
      <c r="K269" s="29">
        <v>1.736E-5</v>
      </c>
      <c r="L269" s="28"/>
      <c r="M269" s="30">
        <v>2.9503999999999999E-2</v>
      </c>
      <c r="N269" s="28"/>
      <c r="O269" s="29">
        <v>2.1608453124999999E-6</v>
      </c>
    </row>
    <row r="270" spans="1:15" x14ac:dyDescent="0.25">
      <c r="A270" s="18">
        <v>2</v>
      </c>
      <c r="B270" s="18" t="s">
        <v>76</v>
      </c>
      <c r="C270" s="18"/>
      <c r="D270" s="18"/>
      <c r="E270" s="19">
        <v>9.2590000000000006E-5</v>
      </c>
      <c r="F270" s="18" t="s">
        <v>49</v>
      </c>
      <c r="G270" s="19">
        <v>0.1875</v>
      </c>
      <c r="H270" s="18" t="s">
        <v>51</v>
      </c>
      <c r="I270" s="19">
        <v>0</v>
      </c>
      <c r="J270" s="18" t="s">
        <v>53</v>
      </c>
      <c r="K270" s="19">
        <v>1.736E-5</v>
      </c>
      <c r="L270" s="18"/>
      <c r="M270" s="20">
        <v>2.9503999999999999E-2</v>
      </c>
      <c r="N270" s="18"/>
      <c r="O270" s="19">
        <v>2.1608453124999999E-6</v>
      </c>
    </row>
    <row r="271" spans="1:15" x14ac:dyDescent="0.25">
      <c r="A271" s="21" t="s">
        <v>61</v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2">
        <v>1.072128</v>
      </c>
      <c r="N271" s="21"/>
      <c r="O271" s="23">
        <v>7.8526064648437496E-5</v>
      </c>
    </row>
    <row r="273" spans="1:15" x14ac:dyDescent="0.25">
      <c r="A273" s="26" t="s">
        <v>57</v>
      </c>
      <c r="B273" s="44" t="s">
        <v>142</v>
      </c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6"/>
    </row>
    <row r="274" spans="1:15" x14ac:dyDescent="0.25">
      <c r="A274" s="27" t="s">
        <v>214</v>
      </c>
      <c r="B274" s="41" t="s">
        <v>68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3"/>
    </row>
    <row r="276" spans="1:15" x14ac:dyDescent="0.25">
      <c r="A276" s="18">
        <v>2</v>
      </c>
      <c r="B276" s="18" t="s">
        <v>29</v>
      </c>
      <c r="C276" s="18"/>
      <c r="D276" s="18"/>
      <c r="E276" s="19">
        <v>3.3333330000000001E-2</v>
      </c>
      <c r="F276" s="18" t="s">
        <v>49</v>
      </c>
      <c r="G276" s="19">
        <v>0.15</v>
      </c>
      <c r="H276" s="18" t="s">
        <v>51</v>
      </c>
      <c r="I276" s="19">
        <v>0</v>
      </c>
      <c r="J276" s="18" t="s">
        <v>53</v>
      </c>
      <c r="K276" s="19">
        <v>5.0000000000000001E-3</v>
      </c>
      <c r="L276" s="18"/>
      <c r="M276" s="20">
        <v>10.621665999999999</v>
      </c>
      <c r="N276" s="18"/>
      <c r="O276" s="19">
        <v>6.2236328124999998E-4</v>
      </c>
    </row>
    <row r="277" spans="1:15" x14ac:dyDescent="0.25">
      <c r="A277" s="21" t="s">
        <v>61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2">
        <v>10.621665999999999</v>
      </c>
      <c r="N277" s="21"/>
      <c r="O277" s="23">
        <v>6.2236328124999998E-4</v>
      </c>
    </row>
    <row r="279" spans="1:15" x14ac:dyDescent="0.25">
      <c r="A279" s="26" t="s">
        <v>57</v>
      </c>
      <c r="B279" s="44" t="s">
        <v>143</v>
      </c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6"/>
    </row>
    <row r="280" spans="1:15" x14ac:dyDescent="0.25">
      <c r="A280" s="27" t="s">
        <v>214</v>
      </c>
      <c r="B280" s="41" t="s">
        <v>68</v>
      </c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3"/>
    </row>
    <row r="282" spans="1:15" x14ac:dyDescent="0.25">
      <c r="A282" s="28">
        <v>2</v>
      </c>
      <c r="B282" s="28" t="s">
        <v>76</v>
      </c>
      <c r="C282" s="28"/>
      <c r="D282" s="28"/>
      <c r="E282" s="29">
        <v>2.7777999999999999E-4</v>
      </c>
      <c r="F282" s="28" t="s">
        <v>49</v>
      </c>
      <c r="G282" s="29">
        <v>0.1875</v>
      </c>
      <c r="H282" s="28" t="s">
        <v>51</v>
      </c>
      <c r="I282" s="29">
        <v>0</v>
      </c>
      <c r="J282" s="28" t="s">
        <v>53</v>
      </c>
      <c r="K282" s="29">
        <v>5.2080000000000003E-5</v>
      </c>
      <c r="L282" s="28"/>
      <c r="M282" s="30">
        <v>8.8514999999999996E-2</v>
      </c>
      <c r="N282" s="28"/>
      <c r="O282" s="29">
        <v>6.4825359374999997E-6</v>
      </c>
    </row>
    <row r="283" spans="1:15" x14ac:dyDescent="0.25">
      <c r="A283" s="28">
        <v>2</v>
      </c>
      <c r="B283" s="28" t="s">
        <v>76</v>
      </c>
      <c r="C283" s="28"/>
      <c r="D283" s="28"/>
      <c r="E283" s="29">
        <v>2.7777999999999999E-4</v>
      </c>
      <c r="F283" s="28" t="s">
        <v>49</v>
      </c>
      <c r="G283" s="29">
        <v>0.1875</v>
      </c>
      <c r="H283" s="28" t="s">
        <v>51</v>
      </c>
      <c r="I283" s="29">
        <v>0</v>
      </c>
      <c r="J283" s="28" t="s">
        <v>53</v>
      </c>
      <c r="K283" s="29">
        <v>5.2080000000000003E-5</v>
      </c>
      <c r="L283" s="28"/>
      <c r="M283" s="30">
        <v>8.8514999999999996E-2</v>
      </c>
      <c r="N283" s="28"/>
      <c r="O283" s="29">
        <v>6.4825359374999997E-6</v>
      </c>
    </row>
    <row r="284" spans="1:15" x14ac:dyDescent="0.25">
      <c r="A284" s="28">
        <v>2</v>
      </c>
      <c r="B284" s="28" t="s">
        <v>76</v>
      </c>
      <c r="C284" s="28"/>
      <c r="D284" s="28"/>
      <c r="E284" s="29">
        <v>9.2590000000000006E-5</v>
      </c>
      <c r="F284" s="28" t="s">
        <v>49</v>
      </c>
      <c r="G284" s="29">
        <v>0.1875</v>
      </c>
      <c r="H284" s="28" t="s">
        <v>51</v>
      </c>
      <c r="I284" s="29">
        <v>0</v>
      </c>
      <c r="J284" s="28" t="s">
        <v>53</v>
      </c>
      <c r="K284" s="29">
        <v>1.736E-5</v>
      </c>
      <c r="L284" s="28"/>
      <c r="M284" s="30">
        <v>2.9503999999999999E-2</v>
      </c>
      <c r="N284" s="28"/>
      <c r="O284" s="29">
        <v>2.1608453124999999E-6</v>
      </c>
    </row>
    <row r="285" spans="1:15" x14ac:dyDescent="0.25">
      <c r="A285" s="28">
        <v>2</v>
      </c>
      <c r="B285" s="28" t="s">
        <v>76</v>
      </c>
      <c r="C285" s="28"/>
      <c r="D285" s="28"/>
      <c r="E285" s="29">
        <v>3.1250000000000001E-5</v>
      </c>
      <c r="F285" s="28" t="s">
        <v>49</v>
      </c>
      <c r="G285" s="29">
        <v>0.1875</v>
      </c>
      <c r="H285" s="28" t="s">
        <v>51</v>
      </c>
      <c r="I285" s="29">
        <v>0</v>
      </c>
      <c r="J285" s="28" t="s">
        <v>53</v>
      </c>
      <c r="K285" s="29">
        <v>5.8599999999999998E-6</v>
      </c>
      <c r="L285" s="28"/>
      <c r="M285" s="30">
        <v>9.9579999999999998E-3</v>
      </c>
      <c r="N285" s="28"/>
      <c r="O285" s="29">
        <v>7.294097656249999E-7</v>
      </c>
    </row>
    <row r="286" spans="1:15" x14ac:dyDescent="0.25">
      <c r="A286" s="28">
        <v>2</v>
      </c>
      <c r="B286" s="28" t="s">
        <v>76</v>
      </c>
      <c r="C286" s="28"/>
      <c r="D286" s="28"/>
      <c r="E286" s="29">
        <v>4.1667000000000001E-4</v>
      </c>
      <c r="F286" s="28" t="s">
        <v>49</v>
      </c>
      <c r="G286" s="29">
        <v>0.1875</v>
      </c>
      <c r="H286" s="28" t="s">
        <v>51</v>
      </c>
      <c r="I286" s="29">
        <v>0</v>
      </c>
      <c r="J286" s="28" t="s">
        <v>53</v>
      </c>
      <c r="K286" s="29">
        <v>7.8129999999999999E-5</v>
      </c>
      <c r="L286" s="28"/>
      <c r="M286" s="30">
        <v>0.132772</v>
      </c>
      <c r="N286" s="28"/>
      <c r="O286" s="29">
        <v>9.7250486328124997E-6</v>
      </c>
    </row>
    <row r="287" spans="1:15" x14ac:dyDescent="0.25">
      <c r="A287" s="28">
        <v>2</v>
      </c>
      <c r="B287" s="28" t="s">
        <v>76</v>
      </c>
      <c r="C287" s="28"/>
      <c r="D287" s="28"/>
      <c r="E287" s="29">
        <v>1.25E-3</v>
      </c>
      <c r="F287" s="28" t="s">
        <v>49</v>
      </c>
      <c r="G287" s="29">
        <v>0.1875</v>
      </c>
      <c r="H287" s="28" t="s">
        <v>51</v>
      </c>
      <c r="I287" s="29">
        <v>0</v>
      </c>
      <c r="J287" s="28" t="s">
        <v>53</v>
      </c>
      <c r="K287" s="29">
        <v>2.3437999999999999E-4</v>
      </c>
      <c r="L287" s="28"/>
      <c r="M287" s="30">
        <v>0.39831299999999997</v>
      </c>
      <c r="N287" s="28"/>
      <c r="O287" s="29">
        <v>2.9173901171875001E-5</v>
      </c>
    </row>
    <row r="288" spans="1:15" x14ac:dyDescent="0.25">
      <c r="A288" s="28">
        <v>2</v>
      </c>
      <c r="B288" s="28" t="s">
        <v>76</v>
      </c>
      <c r="C288" s="28"/>
      <c r="D288" s="28"/>
      <c r="E288" s="29">
        <v>9.2590000000000006E-5</v>
      </c>
      <c r="F288" s="28" t="s">
        <v>49</v>
      </c>
      <c r="G288" s="29">
        <v>0.1875</v>
      </c>
      <c r="H288" s="28" t="s">
        <v>51</v>
      </c>
      <c r="I288" s="29">
        <v>0</v>
      </c>
      <c r="J288" s="28" t="s">
        <v>53</v>
      </c>
      <c r="K288" s="29">
        <v>1.736E-5</v>
      </c>
      <c r="L288" s="28"/>
      <c r="M288" s="30">
        <v>2.9503999999999999E-2</v>
      </c>
      <c r="N288" s="28"/>
      <c r="O288" s="29">
        <v>2.1608453124999999E-6</v>
      </c>
    </row>
    <row r="289" spans="1:15" x14ac:dyDescent="0.25">
      <c r="A289" s="28">
        <v>2</v>
      </c>
      <c r="B289" s="28" t="s">
        <v>76</v>
      </c>
      <c r="C289" s="28"/>
      <c r="D289" s="28"/>
      <c r="E289" s="29">
        <v>4.1667000000000001E-4</v>
      </c>
      <c r="F289" s="28" t="s">
        <v>49</v>
      </c>
      <c r="G289" s="29">
        <v>0.1875</v>
      </c>
      <c r="H289" s="28" t="s">
        <v>51</v>
      </c>
      <c r="I289" s="29">
        <v>0</v>
      </c>
      <c r="J289" s="28" t="s">
        <v>53</v>
      </c>
      <c r="K289" s="29">
        <v>7.8129999999999999E-5</v>
      </c>
      <c r="L289" s="28"/>
      <c r="M289" s="30">
        <v>0.132771</v>
      </c>
      <c r="N289" s="28"/>
      <c r="O289" s="29">
        <v>9.7250486328124997E-6</v>
      </c>
    </row>
    <row r="290" spans="1:15" x14ac:dyDescent="0.25">
      <c r="A290" s="28">
        <v>2</v>
      </c>
      <c r="B290" s="28" t="s">
        <v>76</v>
      </c>
      <c r="C290" s="28"/>
      <c r="D290" s="28"/>
      <c r="E290" s="29">
        <v>9.2590000000000006E-5</v>
      </c>
      <c r="F290" s="28" t="s">
        <v>49</v>
      </c>
      <c r="G290" s="29">
        <v>0.1875</v>
      </c>
      <c r="H290" s="28" t="s">
        <v>51</v>
      </c>
      <c r="I290" s="29">
        <v>0</v>
      </c>
      <c r="J290" s="28" t="s">
        <v>53</v>
      </c>
      <c r="K290" s="29">
        <v>1.736E-5</v>
      </c>
      <c r="L290" s="28"/>
      <c r="M290" s="30">
        <v>2.9503999999999999E-2</v>
      </c>
      <c r="N290" s="28"/>
      <c r="O290" s="29">
        <v>2.1608453124999999E-6</v>
      </c>
    </row>
    <row r="291" spans="1:15" x14ac:dyDescent="0.25">
      <c r="A291" s="28">
        <v>2</v>
      </c>
      <c r="B291" s="28" t="s">
        <v>76</v>
      </c>
      <c r="C291" s="28"/>
      <c r="D291" s="28"/>
      <c r="E291" s="29">
        <v>4.1667000000000001E-4</v>
      </c>
      <c r="F291" s="28" t="s">
        <v>49</v>
      </c>
      <c r="G291" s="29">
        <v>0.1875</v>
      </c>
      <c r="H291" s="28" t="s">
        <v>51</v>
      </c>
      <c r="I291" s="29">
        <v>0</v>
      </c>
      <c r="J291" s="28" t="s">
        <v>53</v>
      </c>
      <c r="K291" s="29">
        <v>7.8129999999999999E-5</v>
      </c>
      <c r="L291" s="28"/>
      <c r="M291" s="30">
        <v>0.132772</v>
      </c>
      <c r="N291" s="28"/>
      <c r="O291" s="29">
        <v>9.7250486328124997E-6</v>
      </c>
    </row>
    <row r="292" spans="1:15" x14ac:dyDescent="0.25">
      <c r="A292" s="18">
        <v>16</v>
      </c>
      <c r="B292" s="18" t="s">
        <v>60</v>
      </c>
      <c r="C292" s="18"/>
      <c r="D292" s="18"/>
      <c r="E292" s="19">
        <v>2.0000000000000001E-4</v>
      </c>
      <c r="F292" s="18" t="s">
        <v>49</v>
      </c>
      <c r="G292" s="19">
        <v>0.15</v>
      </c>
      <c r="H292" s="18" t="s">
        <v>51</v>
      </c>
      <c r="I292" s="19">
        <v>0</v>
      </c>
      <c r="J292" s="18" t="s">
        <v>53</v>
      </c>
      <c r="K292" s="19">
        <v>3.0000000000000001E-5</v>
      </c>
      <c r="L292" s="18"/>
      <c r="M292" s="20">
        <v>2.4E-2</v>
      </c>
      <c r="N292" s="18"/>
      <c r="O292" s="19">
        <v>1.4062500000000001E-6</v>
      </c>
    </row>
    <row r="293" spans="1:15" x14ac:dyDescent="0.25">
      <c r="A293" s="21" t="s">
        <v>61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2">
        <v>1.096128</v>
      </c>
      <c r="N293" s="21"/>
      <c r="O293" s="23">
        <v>7.9932314648437493E-5</v>
      </c>
    </row>
    <row r="295" spans="1:15" x14ac:dyDescent="0.25">
      <c r="A295" s="26" t="s">
        <v>57</v>
      </c>
      <c r="B295" s="44" t="s">
        <v>144</v>
      </c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6"/>
    </row>
    <row r="296" spans="1:15" x14ac:dyDescent="0.25">
      <c r="A296" s="27" t="s">
        <v>214</v>
      </c>
      <c r="B296" s="41" t="s">
        <v>68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3"/>
    </row>
    <row r="298" spans="1:15" x14ac:dyDescent="0.25">
      <c r="A298" s="18">
        <v>28</v>
      </c>
      <c r="B298" s="18" t="s">
        <v>117</v>
      </c>
      <c r="C298" s="18"/>
      <c r="D298" s="18"/>
      <c r="E298" s="19">
        <v>0.25</v>
      </c>
      <c r="F298" s="18" t="s">
        <v>49</v>
      </c>
      <c r="G298" s="19">
        <v>0.16666666999999999</v>
      </c>
      <c r="H298" s="18" t="s">
        <v>51</v>
      </c>
      <c r="I298" s="19">
        <v>0</v>
      </c>
      <c r="J298" s="18" t="s">
        <v>53</v>
      </c>
      <c r="K298" s="19">
        <v>4.1666670000000003E-2</v>
      </c>
      <c r="L298" s="18"/>
      <c r="M298" s="20">
        <v>120</v>
      </c>
      <c r="N298" s="18"/>
      <c r="O298" s="19">
        <v>7.8125006249999997E-3</v>
      </c>
    </row>
    <row r="299" spans="1:15" x14ac:dyDescent="0.25">
      <c r="A299" s="21" t="s">
        <v>61</v>
      </c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2">
        <v>120</v>
      </c>
      <c r="N299" s="21"/>
      <c r="O299" s="23">
        <v>7.8125006249999997E-3</v>
      </c>
    </row>
    <row r="301" spans="1:15" x14ac:dyDescent="0.25">
      <c r="A301" s="26" t="s">
        <v>57</v>
      </c>
      <c r="B301" s="44" t="s">
        <v>145</v>
      </c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6"/>
    </row>
    <row r="302" spans="1:15" x14ac:dyDescent="0.25">
      <c r="A302" s="27" t="s">
        <v>214</v>
      </c>
      <c r="B302" s="41" t="s">
        <v>119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3"/>
    </row>
    <row r="304" spans="1:15" x14ac:dyDescent="0.25">
      <c r="A304" s="28">
        <v>15</v>
      </c>
      <c r="B304" s="28" t="s">
        <v>87</v>
      </c>
      <c r="C304" s="28"/>
      <c r="D304" s="28"/>
      <c r="E304" s="29">
        <v>6.25E-2</v>
      </c>
      <c r="F304" s="28" t="s">
        <v>49</v>
      </c>
      <c r="G304" s="29">
        <v>0.15</v>
      </c>
      <c r="H304" s="28" t="s">
        <v>51</v>
      </c>
      <c r="I304" s="29">
        <v>0</v>
      </c>
      <c r="J304" s="28" t="s">
        <v>53</v>
      </c>
      <c r="K304" s="29">
        <v>9.3749999999999997E-3</v>
      </c>
      <c r="L304" s="28"/>
      <c r="M304" s="30">
        <v>2.5</v>
      </c>
      <c r="N304" s="28"/>
      <c r="O304" s="29">
        <v>1.4648437499999999E-4</v>
      </c>
    </row>
    <row r="305" spans="1:15" x14ac:dyDescent="0.25">
      <c r="A305" s="18">
        <v>20</v>
      </c>
      <c r="B305" s="18" t="s">
        <v>87</v>
      </c>
      <c r="C305" s="18"/>
      <c r="D305" s="18"/>
      <c r="E305" s="19">
        <v>0.25</v>
      </c>
      <c r="F305" s="18" t="s">
        <v>49</v>
      </c>
      <c r="G305" s="19">
        <v>0.15</v>
      </c>
      <c r="H305" s="18" t="s">
        <v>51</v>
      </c>
      <c r="I305" s="19">
        <v>0</v>
      </c>
      <c r="J305" s="18" t="s">
        <v>53</v>
      </c>
      <c r="K305" s="19">
        <v>3.7499999999999999E-2</v>
      </c>
      <c r="L305" s="18"/>
      <c r="M305" s="20">
        <v>40</v>
      </c>
      <c r="N305" s="18"/>
      <c r="O305" s="19">
        <v>2.3437499999999999E-3</v>
      </c>
    </row>
    <row r="306" spans="1:15" x14ac:dyDescent="0.25">
      <c r="A306" s="21" t="s">
        <v>61</v>
      </c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2">
        <v>42.5</v>
      </c>
      <c r="N306" s="21"/>
      <c r="O306" s="23">
        <v>2.4902343749999998E-3</v>
      </c>
    </row>
    <row r="308" spans="1:15" x14ac:dyDescent="0.25">
      <c r="A308" s="26" t="s">
        <v>57</v>
      </c>
      <c r="B308" s="44" t="s">
        <v>146</v>
      </c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6"/>
    </row>
    <row r="309" spans="1:15" x14ac:dyDescent="0.25">
      <c r="A309" s="27" t="s">
        <v>214</v>
      </c>
      <c r="B309" s="41" t="s">
        <v>147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3"/>
    </row>
    <row r="311" spans="1:15" x14ac:dyDescent="0.25">
      <c r="A311" s="18">
        <v>2</v>
      </c>
      <c r="B311" s="18" t="s">
        <v>37</v>
      </c>
      <c r="C311" s="18"/>
      <c r="D311" s="18"/>
      <c r="E311" s="19">
        <v>2.8571400000000002E-3</v>
      </c>
      <c r="F311" s="18" t="s">
        <v>49</v>
      </c>
      <c r="G311" s="19">
        <v>0.1875</v>
      </c>
      <c r="H311" s="18" t="s">
        <v>51</v>
      </c>
      <c r="I311" s="19">
        <v>0</v>
      </c>
      <c r="J311" s="18" t="s">
        <v>53</v>
      </c>
      <c r="K311" s="19">
        <v>5.3571000000000001E-4</v>
      </c>
      <c r="L311" s="18"/>
      <c r="M311" s="20">
        <v>0.91042800000000002</v>
      </c>
      <c r="N311" s="18"/>
      <c r="O311" s="19">
        <v>6.6681246679687494E-5</v>
      </c>
    </row>
    <row r="312" spans="1:15" x14ac:dyDescent="0.25">
      <c r="A312" s="21" t="s">
        <v>61</v>
      </c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2">
        <v>0.91042800000000002</v>
      </c>
      <c r="N312" s="21"/>
      <c r="O312" s="23">
        <v>6.6681246679687494E-5</v>
      </c>
    </row>
    <row r="314" spans="1:15" x14ac:dyDescent="0.25">
      <c r="A314" s="26" t="s">
        <v>57</v>
      </c>
      <c r="B314" s="44" t="s">
        <v>148</v>
      </c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6"/>
    </row>
    <row r="315" spans="1:15" x14ac:dyDescent="0.25">
      <c r="A315" s="27" t="s">
        <v>214</v>
      </c>
      <c r="B315" s="41" t="s">
        <v>149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3"/>
    </row>
    <row r="317" spans="1:15" x14ac:dyDescent="0.25">
      <c r="A317" s="18">
        <v>17</v>
      </c>
      <c r="B317" s="18" t="s">
        <v>9</v>
      </c>
      <c r="C317" s="18"/>
      <c r="D317" s="18"/>
      <c r="E317" s="19">
        <v>1</v>
      </c>
      <c r="F317" s="18" t="s">
        <v>49</v>
      </c>
      <c r="G317" s="19">
        <v>0.15</v>
      </c>
      <c r="H317" s="18" t="s">
        <v>51</v>
      </c>
      <c r="I317" s="19">
        <v>0</v>
      </c>
      <c r="J317" s="18" t="s">
        <v>53</v>
      </c>
      <c r="K317" s="19">
        <v>0.15</v>
      </c>
      <c r="L317" s="18"/>
      <c r="M317" s="20">
        <v>240</v>
      </c>
      <c r="N317" s="18"/>
      <c r="O317" s="19">
        <v>1.40625E-2</v>
      </c>
    </row>
    <row r="318" spans="1:15" x14ac:dyDescent="0.25">
      <c r="A318" s="21" t="s">
        <v>61</v>
      </c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2">
        <v>240</v>
      </c>
      <c r="N318" s="21"/>
      <c r="O318" s="23">
        <v>1.40625E-2</v>
      </c>
    </row>
    <row r="320" spans="1:15" x14ac:dyDescent="0.25">
      <c r="A320" s="26" t="s">
        <v>57</v>
      </c>
      <c r="B320" s="44" t="s">
        <v>150</v>
      </c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6"/>
    </row>
    <row r="321" spans="1:15" x14ac:dyDescent="0.25">
      <c r="A321" s="27" t="s">
        <v>214</v>
      </c>
      <c r="B321" s="41" t="s">
        <v>151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3"/>
    </row>
    <row r="323" spans="1:15" x14ac:dyDescent="0.25">
      <c r="A323" s="18">
        <v>2</v>
      </c>
      <c r="B323" s="18" t="s">
        <v>29</v>
      </c>
      <c r="C323" s="18"/>
      <c r="D323" s="18"/>
      <c r="E323" s="19">
        <v>3.3333330000000001E-2</v>
      </c>
      <c r="F323" s="18" t="s">
        <v>49</v>
      </c>
      <c r="G323" s="19">
        <v>0.15</v>
      </c>
      <c r="H323" s="18" t="s">
        <v>51</v>
      </c>
      <c r="I323" s="19">
        <v>0</v>
      </c>
      <c r="J323" s="18" t="s">
        <v>53</v>
      </c>
      <c r="K323" s="19">
        <v>5.0000000000000001E-3</v>
      </c>
      <c r="L323" s="18"/>
      <c r="M323" s="20">
        <v>10.621665999999999</v>
      </c>
      <c r="N323" s="18"/>
      <c r="O323" s="19">
        <v>6.2236328124999998E-4</v>
      </c>
    </row>
    <row r="324" spans="1:15" x14ac:dyDescent="0.25">
      <c r="A324" s="21" t="s">
        <v>61</v>
      </c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2">
        <v>10.621665999999999</v>
      </c>
      <c r="N324" s="21"/>
      <c r="O324" s="23">
        <v>6.2236328124999998E-4</v>
      </c>
    </row>
    <row r="326" spans="1:15" x14ac:dyDescent="0.25">
      <c r="A326" s="26" t="s">
        <v>57</v>
      </c>
      <c r="B326" s="44" t="s">
        <v>152</v>
      </c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6"/>
    </row>
    <row r="327" spans="1:15" x14ac:dyDescent="0.25">
      <c r="A327" s="27" t="s">
        <v>214</v>
      </c>
      <c r="B327" s="41" t="s">
        <v>153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3"/>
    </row>
    <row r="329" spans="1:15" x14ac:dyDescent="0.25">
      <c r="A329" s="18">
        <v>16</v>
      </c>
      <c r="B329" s="18" t="s">
        <v>137</v>
      </c>
      <c r="C329" s="18"/>
      <c r="D329" s="18"/>
      <c r="E329" s="19">
        <v>0.25</v>
      </c>
      <c r="F329" s="18" t="s">
        <v>49</v>
      </c>
      <c r="G329" s="19">
        <v>0.15</v>
      </c>
      <c r="H329" s="18" t="s">
        <v>51</v>
      </c>
      <c r="I329" s="19">
        <v>0</v>
      </c>
      <c r="J329" s="18" t="s">
        <v>53</v>
      </c>
      <c r="K329" s="19">
        <v>3.7499999999999999E-2</v>
      </c>
      <c r="L329" s="18"/>
      <c r="M329" s="20">
        <v>30</v>
      </c>
      <c r="N329" s="18"/>
      <c r="O329" s="19">
        <v>1.7578125E-3</v>
      </c>
    </row>
    <row r="330" spans="1:15" x14ac:dyDescent="0.25">
      <c r="A330" s="21" t="s">
        <v>61</v>
      </c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2">
        <v>30</v>
      </c>
      <c r="N330" s="21"/>
      <c r="O330" s="23">
        <v>1.7578125E-3</v>
      </c>
    </row>
    <row r="332" spans="1:15" x14ac:dyDescent="0.25">
      <c r="A332" s="26" t="s">
        <v>57</v>
      </c>
      <c r="B332" s="44" t="s">
        <v>154</v>
      </c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6"/>
    </row>
    <row r="333" spans="1:15" x14ac:dyDescent="0.25">
      <c r="A333" s="27" t="s">
        <v>214</v>
      </c>
      <c r="B333" s="41" t="s">
        <v>155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3"/>
    </row>
    <row r="335" spans="1:15" x14ac:dyDescent="0.25">
      <c r="A335" s="28">
        <v>2</v>
      </c>
      <c r="B335" s="28" t="s">
        <v>76</v>
      </c>
      <c r="C335" s="28"/>
      <c r="D335" s="28"/>
      <c r="E335" s="29">
        <v>6.2500000000000001E-4</v>
      </c>
      <c r="F335" s="28" t="s">
        <v>49</v>
      </c>
      <c r="G335" s="29">
        <v>0.1875</v>
      </c>
      <c r="H335" s="28" t="s">
        <v>51</v>
      </c>
      <c r="I335" s="29">
        <v>0</v>
      </c>
      <c r="J335" s="28" t="s">
        <v>53</v>
      </c>
      <c r="K335" s="29">
        <v>1.1718999999999999E-4</v>
      </c>
      <c r="L335" s="28"/>
      <c r="M335" s="30">
        <v>0.199156</v>
      </c>
      <c r="N335" s="28"/>
      <c r="O335" s="29">
        <v>1.45869505859375E-5</v>
      </c>
    </row>
    <row r="336" spans="1:15" x14ac:dyDescent="0.25">
      <c r="A336" s="28">
        <v>2</v>
      </c>
      <c r="B336" s="28" t="s">
        <v>76</v>
      </c>
      <c r="C336" s="28"/>
      <c r="D336" s="28"/>
      <c r="E336" s="29">
        <v>1.8518499999999999E-3</v>
      </c>
      <c r="F336" s="28" t="s">
        <v>49</v>
      </c>
      <c r="G336" s="29">
        <v>0.1875</v>
      </c>
      <c r="H336" s="28" t="s">
        <v>51</v>
      </c>
      <c r="I336" s="29">
        <v>0</v>
      </c>
      <c r="J336" s="28" t="s">
        <v>53</v>
      </c>
      <c r="K336" s="29">
        <v>3.4722000000000003E-4</v>
      </c>
      <c r="L336" s="28"/>
      <c r="M336" s="30">
        <v>0.59009199999999995</v>
      </c>
      <c r="N336" s="28"/>
      <c r="O336" s="29">
        <v>4.3219395703124998E-5</v>
      </c>
    </row>
    <row r="337" spans="1:15" x14ac:dyDescent="0.25">
      <c r="A337" s="28">
        <v>2</v>
      </c>
      <c r="B337" s="28" t="s">
        <v>76</v>
      </c>
      <c r="C337" s="28"/>
      <c r="D337" s="28"/>
      <c r="E337" s="29">
        <v>8.3333299999999999E-3</v>
      </c>
      <c r="F337" s="28" t="s">
        <v>49</v>
      </c>
      <c r="G337" s="29">
        <v>0.1875</v>
      </c>
      <c r="H337" s="28" t="s">
        <v>51</v>
      </c>
      <c r="I337" s="29">
        <v>0</v>
      </c>
      <c r="J337" s="28" t="s">
        <v>53</v>
      </c>
      <c r="K337" s="29">
        <v>1.5625000000000001E-3</v>
      </c>
      <c r="L337" s="28"/>
      <c r="M337" s="30">
        <v>2.6554160000000002</v>
      </c>
      <c r="N337" s="28"/>
      <c r="O337" s="29">
        <v>1.9448852539062501E-4</v>
      </c>
    </row>
    <row r="338" spans="1:15" x14ac:dyDescent="0.25">
      <c r="A338" s="28">
        <v>2</v>
      </c>
      <c r="B338" s="28" t="s">
        <v>76</v>
      </c>
      <c r="C338" s="28"/>
      <c r="D338" s="28"/>
      <c r="E338" s="29">
        <v>5.5555600000000002E-3</v>
      </c>
      <c r="F338" s="28" t="s">
        <v>49</v>
      </c>
      <c r="G338" s="29">
        <v>0.1875</v>
      </c>
      <c r="H338" s="28" t="s">
        <v>51</v>
      </c>
      <c r="I338" s="29">
        <v>0</v>
      </c>
      <c r="J338" s="28" t="s">
        <v>53</v>
      </c>
      <c r="K338" s="29">
        <v>1.04167E-3</v>
      </c>
      <c r="L338" s="28"/>
      <c r="M338" s="30">
        <v>1.7702789999999999</v>
      </c>
      <c r="N338" s="28"/>
      <c r="O338" s="29">
        <v>1.2965943183593749E-4</v>
      </c>
    </row>
    <row r="339" spans="1:15" x14ac:dyDescent="0.25">
      <c r="A339" s="28">
        <v>2</v>
      </c>
      <c r="B339" s="28" t="s">
        <v>76</v>
      </c>
      <c r="C339" s="28"/>
      <c r="D339" s="28"/>
      <c r="E339" s="29">
        <v>1.8518499999999999E-3</v>
      </c>
      <c r="F339" s="28" t="s">
        <v>49</v>
      </c>
      <c r="G339" s="29">
        <v>0.1875</v>
      </c>
      <c r="H339" s="28" t="s">
        <v>51</v>
      </c>
      <c r="I339" s="29">
        <v>0</v>
      </c>
      <c r="J339" s="28" t="s">
        <v>53</v>
      </c>
      <c r="K339" s="29">
        <v>3.4722000000000003E-4</v>
      </c>
      <c r="L339" s="28"/>
      <c r="M339" s="30">
        <v>0.59009199999999995</v>
      </c>
      <c r="N339" s="28"/>
      <c r="O339" s="29">
        <v>4.3219395703124998E-5</v>
      </c>
    </row>
    <row r="340" spans="1:15" x14ac:dyDescent="0.25">
      <c r="A340" s="28">
        <v>2</v>
      </c>
      <c r="B340" s="28" t="s">
        <v>76</v>
      </c>
      <c r="C340" s="28"/>
      <c r="D340" s="28"/>
      <c r="E340" s="29">
        <v>5.5555600000000002E-3</v>
      </c>
      <c r="F340" s="28" t="s">
        <v>49</v>
      </c>
      <c r="G340" s="29">
        <v>0.1875</v>
      </c>
      <c r="H340" s="28" t="s">
        <v>51</v>
      </c>
      <c r="I340" s="29">
        <v>0</v>
      </c>
      <c r="J340" s="28" t="s">
        <v>53</v>
      </c>
      <c r="K340" s="29">
        <v>1.04167E-3</v>
      </c>
      <c r="L340" s="28"/>
      <c r="M340" s="30">
        <v>1.7702789999999999</v>
      </c>
      <c r="N340" s="28"/>
      <c r="O340" s="29">
        <v>1.2965943183593749E-4</v>
      </c>
    </row>
    <row r="341" spans="1:15" x14ac:dyDescent="0.25">
      <c r="A341" s="28">
        <v>2</v>
      </c>
      <c r="B341" s="28" t="s">
        <v>76</v>
      </c>
      <c r="C341" s="28"/>
      <c r="D341" s="28"/>
      <c r="E341" s="29">
        <v>8.3333299999999999E-3</v>
      </c>
      <c r="F341" s="28" t="s">
        <v>49</v>
      </c>
      <c r="G341" s="29">
        <v>0.1875</v>
      </c>
      <c r="H341" s="28" t="s">
        <v>51</v>
      </c>
      <c r="I341" s="29">
        <v>0</v>
      </c>
      <c r="J341" s="28" t="s">
        <v>53</v>
      </c>
      <c r="K341" s="29">
        <v>1.5625000000000001E-3</v>
      </c>
      <c r="L341" s="28"/>
      <c r="M341" s="30">
        <v>2.6554150000000001</v>
      </c>
      <c r="N341" s="28"/>
      <c r="O341" s="29">
        <v>1.9448852539062501E-4</v>
      </c>
    </row>
    <row r="342" spans="1:15" x14ac:dyDescent="0.25">
      <c r="A342" s="28">
        <v>2</v>
      </c>
      <c r="B342" s="28" t="s">
        <v>76</v>
      </c>
      <c r="C342" s="28"/>
      <c r="D342" s="28"/>
      <c r="E342" s="29">
        <v>1.8518499999999999E-3</v>
      </c>
      <c r="F342" s="28" t="s">
        <v>49</v>
      </c>
      <c r="G342" s="29">
        <v>0.1875</v>
      </c>
      <c r="H342" s="28" t="s">
        <v>51</v>
      </c>
      <c r="I342" s="29">
        <v>0</v>
      </c>
      <c r="J342" s="28" t="s">
        <v>53</v>
      </c>
      <c r="K342" s="29">
        <v>3.4722000000000003E-4</v>
      </c>
      <c r="L342" s="28"/>
      <c r="M342" s="30">
        <v>0.59009199999999995</v>
      </c>
      <c r="N342" s="28"/>
      <c r="O342" s="29">
        <v>4.3219395703124998E-5</v>
      </c>
    </row>
    <row r="343" spans="1:15" x14ac:dyDescent="0.25">
      <c r="A343" s="18">
        <v>2</v>
      </c>
      <c r="B343" s="18" t="s">
        <v>76</v>
      </c>
      <c r="C343" s="18"/>
      <c r="D343" s="18"/>
      <c r="E343" s="19">
        <v>8.3333299999999999E-3</v>
      </c>
      <c r="F343" s="18" t="s">
        <v>49</v>
      </c>
      <c r="G343" s="19">
        <v>0.1875</v>
      </c>
      <c r="H343" s="18" t="s">
        <v>51</v>
      </c>
      <c r="I343" s="19">
        <v>0</v>
      </c>
      <c r="J343" s="18" t="s">
        <v>53</v>
      </c>
      <c r="K343" s="19">
        <v>1.5625000000000001E-3</v>
      </c>
      <c r="L343" s="18"/>
      <c r="M343" s="20">
        <v>2.6554160000000002</v>
      </c>
      <c r="N343" s="18"/>
      <c r="O343" s="19">
        <v>1.9448852539062501E-4</v>
      </c>
    </row>
    <row r="344" spans="1:15" x14ac:dyDescent="0.25">
      <c r="A344" s="21" t="s">
        <v>61</v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2">
        <v>13.476236999999999</v>
      </c>
      <c r="N344" s="21"/>
      <c r="O344" s="23">
        <v>9.8702957753906253E-4</v>
      </c>
    </row>
    <row r="346" spans="1:15" x14ac:dyDescent="0.25">
      <c r="A346" s="26" t="s">
        <v>57</v>
      </c>
      <c r="B346" s="44" t="s">
        <v>156</v>
      </c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6"/>
    </row>
    <row r="347" spans="1:15" x14ac:dyDescent="0.25">
      <c r="A347" s="27" t="s">
        <v>214</v>
      </c>
      <c r="B347" s="41" t="s">
        <v>157</v>
      </c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3"/>
    </row>
    <row r="349" spans="1:15" x14ac:dyDescent="0.25">
      <c r="A349" s="18">
        <v>2</v>
      </c>
      <c r="B349" s="18" t="s">
        <v>37</v>
      </c>
      <c r="C349" s="18"/>
      <c r="D349" s="18"/>
      <c r="E349" s="19">
        <v>2.8571400000000002E-3</v>
      </c>
      <c r="F349" s="18" t="s">
        <v>49</v>
      </c>
      <c r="G349" s="19">
        <v>0.1875</v>
      </c>
      <c r="H349" s="18" t="s">
        <v>51</v>
      </c>
      <c r="I349" s="19">
        <v>0</v>
      </c>
      <c r="J349" s="18" t="s">
        <v>53</v>
      </c>
      <c r="K349" s="19">
        <v>5.3571000000000001E-4</v>
      </c>
      <c r="L349" s="18"/>
      <c r="M349" s="20">
        <v>0.91042800000000002</v>
      </c>
      <c r="N349" s="18"/>
      <c r="O349" s="19">
        <v>6.6681246679687494E-5</v>
      </c>
    </row>
    <row r="350" spans="1:15" x14ac:dyDescent="0.25">
      <c r="A350" s="21" t="s">
        <v>61</v>
      </c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2">
        <v>0.91042800000000002</v>
      </c>
      <c r="N350" s="21"/>
      <c r="O350" s="23">
        <v>6.6681246679687494E-5</v>
      </c>
    </row>
    <row r="352" spans="1:15" x14ac:dyDescent="0.25">
      <c r="A352" s="26" t="s">
        <v>57</v>
      </c>
      <c r="B352" s="44" t="s">
        <v>158</v>
      </c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6"/>
    </row>
    <row r="353" spans="1:15" x14ac:dyDescent="0.25">
      <c r="A353" s="27" t="s">
        <v>214</v>
      </c>
      <c r="B353" s="41" t="s">
        <v>159</v>
      </c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3"/>
    </row>
    <row r="355" spans="1:15" x14ac:dyDescent="0.25">
      <c r="A355" s="18">
        <v>2</v>
      </c>
      <c r="B355" s="18" t="s">
        <v>37</v>
      </c>
      <c r="C355" s="18"/>
      <c r="D355" s="18"/>
      <c r="E355" s="19">
        <v>2.8571400000000002E-3</v>
      </c>
      <c r="F355" s="18" t="s">
        <v>49</v>
      </c>
      <c r="G355" s="19">
        <v>0.1875</v>
      </c>
      <c r="H355" s="18" t="s">
        <v>51</v>
      </c>
      <c r="I355" s="19">
        <v>0</v>
      </c>
      <c r="J355" s="18" t="s">
        <v>53</v>
      </c>
      <c r="K355" s="19">
        <v>5.3571000000000001E-4</v>
      </c>
      <c r="L355" s="18"/>
      <c r="M355" s="20">
        <v>0.91042800000000002</v>
      </c>
      <c r="N355" s="18"/>
      <c r="O355" s="19">
        <v>6.6681246679687494E-5</v>
      </c>
    </row>
    <row r="356" spans="1:15" x14ac:dyDescent="0.25">
      <c r="A356" s="21" t="s">
        <v>61</v>
      </c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2">
        <v>0.91042800000000002</v>
      </c>
      <c r="N356" s="21"/>
      <c r="O356" s="23">
        <v>6.6681246679687494E-5</v>
      </c>
    </row>
    <row r="358" spans="1:15" x14ac:dyDescent="0.25">
      <c r="A358" s="26" t="s">
        <v>57</v>
      </c>
      <c r="B358" s="44" t="s">
        <v>160</v>
      </c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6"/>
    </row>
    <row r="359" spans="1:15" x14ac:dyDescent="0.25">
      <c r="A359" s="27" t="s">
        <v>214</v>
      </c>
      <c r="B359" s="41" t="s">
        <v>161</v>
      </c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3"/>
    </row>
    <row r="361" spans="1:15" x14ac:dyDescent="0.25">
      <c r="A361" s="18">
        <v>16</v>
      </c>
      <c r="B361" s="18" t="s">
        <v>60</v>
      </c>
      <c r="C361" s="18"/>
      <c r="D361" s="18"/>
      <c r="E361" s="19">
        <v>2.0000000000000001E-4</v>
      </c>
      <c r="F361" s="18" t="s">
        <v>49</v>
      </c>
      <c r="G361" s="19">
        <v>0.15</v>
      </c>
      <c r="H361" s="18" t="s">
        <v>51</v>
      </c>
      <c r="I361" s="19">
        <v>0</v>
      </c>
      <c r="J361" s="18" t="s">
        <v>53</v>
      </c>
      <c r="K361" s="19">
        <v>3.0000000000000001E-5</v>
      </c>
      <c r="L361" s="18"/>
      <c r="M361" s="20">
        <v>2.4E-2</v>
      </c>
      <c r="N361" s="18"/>
      <c r="O361" s="19">
        <v>1.4062500000000001E-6</v>
      </c>
    </row>
    <row r="362" spans="1:15" x14ac:dyDescent="0.25">
      <c r="A362" s="21" t="s">
        <v>61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2">
        <v>2.4E-2</v>
      </c>
      <c r="N362" s="21"/>
      <c r="O362" s="23">
        <v>1.4062500000000001E-6</v>
      </c>
    </row>
    <row r="364" spans="1:15" x14ac:dyDescent="0.25">
      <c r="A364" s="26" t="s">
        <v>57</v>
      </c>
      <c r="B364" s="44" t="s">
        <v>162</v>
      </c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6"/>
    </row>
    <row r="365" spans="1:15" x14ac:dyDescent="0.25">
      <c r="A365" s="27" t="s">
        <v>214</v>
      </c>
      <c r="B365" s="41" t="s">
        <v>68</v>
      </c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3"/>
    </row>
    <row r="367" spans="1:15" x14ac:dyDescent="0.25">
      <c r="A367" s="18">
        <v>2</v>
      </c>
      <c r="B367" s="18" t="s">
        <v>60</v>
      </c>
      <c r="C367" s="18"/>
      <c r="D367" s="18"/>
      <c r="E367" s="19">
        <v>5.0875E-3</v>
      </c>
      <c r="F367" s="18" t="s">
        <v>49</v>
      </c>
      <c r="G367" s="19">
        <v>0.1875</v>
      </c>
      <c r="H367" s="18" t="s">
        <v>51</v>
      </c>
      <c r="I367" s="19">
        <v>0</v>
      </c>
      <c r="J367" s="18" t="s">
        <v>53</v>
      </c>
      <c r="K367" s="19">
        <v>9.5390999999999998E-4</v>
      </c>
      <c r="L367" s="18"/>
      <c r="M367" s="20">
        <v>1.621132</v>
      </c>
      <c r="N367" s="18"/>
      <c r="O367" s="19">
        <v>1.1873571152343749E-4</v>
      </c>
    </row>
    <row r="368" spans="1:15" x14ac:dyDescent="0.25">
      <c r="A368" s="21" t="s">
        <v>61</v>
      </c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2">
        <v>1.621132</v>
      </c>
      <c r="N368" s="21"/>
      <c r="O368" s="23">
        <v>1.1873571152343749E-4</v>
      </c>
    </row>
    <row r="370" spans="1:15" x14ac:dyDescent="0.25">
      <c r="A370" s="26" t="s">
        <v>57</v>
      </c>
      <c r="B370" s="44" t="s">
        <v>163</v>
      </c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6"/>
    </row>
    <row r="371" spans="1:15" x14ac:dyDescent="0.25">
      <c r="A371" s="27" t="s">
        <v>214</v>
      </c>
      <c r="B371" s="41" t="s">
        <v>164</v>
      </c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3"/>
    </row>
    <row r="373" spans="1:15" x14ac:dyDescent="0.25">
      <c r="A373" s="18">
        <v>2</v>
      </c>
      <c r="B373" s="18" t="s">
        <v>60</v>
      </c>
      <c r="C373" s="18"/>
      <c r="D373" s="18"/>
      <c r="E373" s="19">
        <v>1.57917E-3</v>
      </c>
      <c r="F373" s="18" t="s">
        <v>49</v>
      </c>
      <c r="G373" s="19">
        <v>0.1875</v>
      </c>
      <c r="H373" s="18" t="s">
        <v>51</v>
      </c>
      <c r="I373" s="19">
        <v>0</v>
      </c>
      <c r="J373" s="18" t="s">
        <v>53</v>
      </c>
      <c r="K373" s="19">
        <v>2.9608999999999999E-4</v>
      </c>
      <c r="L373" s="18"/>
      <c r="M373" s="20">
        <v>0.50320299999999996</v>
      </c>
      <c r="N373" s="18"/>
      <c r="O373" s="19">
        <v>3.6855108789062487E-5</v>
      </c>
    </row>
    <row r="374" spans="1:15" x14ac:dyDescent="0.25">
      <c r="A374" s="21" t="s">
        <v>61</v>
      </c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2">
        <v>0.50320299999999996</v>
      </c>
      <c r="N374" s="21"/>
      <c r="O374" s="23">
        <v>3.6855108789062487E-5</v>
      </c>
    </row>
    <row r="376" spans="1:15" x14ac:dyDescent="0.25">
      <c r="A376" s="26" t="s">
        <v>57</v>
      </c>
      <c r="B376" s="44" t="s">
        <v>165</v>
      </c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6"/>
    </row>
    <row r="377" spans="1:15" x14ac:dyDescent="0.25">
      <c r="A377" s="27" t="s">
        <v>214</v>
      </c>
      <c r="B377" s="41" t="s">
        <v>68</v>
      </c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3"/>
    </row>
    <row r="379" spans="1:15" x14ac:dyDescent="0.25">
      <c r="A379" s="18">
        <v>2</v>
      </c>
      <c r="B379" s="18" t="s">
        <v>27</v>
      </c>
      <c r="C379" s="18"/>
      <c r="D379" s="18"/>
      <c r="E379" s="19">
        <v>7.4999999999999997E-2</v>
      </c>
      <c r="F379" s="18" t="s">
        <v>49</v>
      </c>
      <c r="G379" s="19">
        <v>0.16666666999999999</v>
      </c>
      <c r="H379" s="18" t="s">
        <v>51</v>
      </c>
      <c r="I379" s="19">
        <v>0</v>
      </c>
      <c r="J379" s="18" t="s">
        <v>53</v>
      </c>
      <c r="K379" s="19">
        <v>1.2500000000000001E-2</v>
      </c>
      <c r="L379" s="18"/>
      <c r="M379" s="20">
        <v>23.89875</v>
      </c>
      <c r="N379" s="18"/>
      <c r="O379" s="19">
        <v>1.5559082031250001E-3</v>
      </c>
    </row>
    <row r="380" spans="1:15" x14ac:dyDescent="0.25">
      <c r="A380" s="21" t="s">
        <v>61</v>
      </c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2">
        <v>23.89875</v>
      </c>
      <c r="N380" s="21"/>
      <c r="O380" s="23">
        <v>1.5559082031250001E-3</v>
      </c>
    </row>
    <row r="382" spans="1:15" x14ac:dyDescent="0.25">
      <c r="A382" s="26" t="s">
        <v>57</v>
      </c>
      <c r="B382" s="44" t="s">
        <v>166</v>
      </c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6"/>
    </row>
    <row r="383" spans="1:15" x14ac:dyDescent="0.25">
      <c r="A383" s="27" t="s">
        <v>214</v>
      </c>
      <c r="B383" s="41" t="s">
        <v>167</v>
      </c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3"/>
    </row>
    <row r="385" spans="1:15" x14ac:dyDescent="0.25">
      <c r="A385" s="28">
        <v>2</v>
      </c>
      <c r="B385" s="28" t="s">
        <v>76</v>
      </c>
      <c r="C385" s="28"/>
      <c r="D385" s="28"/>
      <c r="E385" s="29">
        <v>5.5555999999999997E-4</v>
      </c>
      <c r="F385" s="28" t="s">
        <v>49</v>
      </c>
      <c r="G385" s="29">
        <v>0.1875</v>
      </c>
      <c r="H385" s="28" t="s">
        <v>51</v>
      </c>
      <c r="I385" s="29">
        <v>0</v>
      </c>
      <c r="J385" s="28" t="s">
        <v>53</v>
      </c>
      <c r="K385" s="29">
        <v>1.0417E-4</v>
      </c>
      <c r="L385" s="28"/>
      <c r="M385" s="30">
        <v>0.17702899999999999</v>
      </c>
      <c r="N385" s="28"/>
      <c r="O385" s="29">
        <v>1.29663166015625E-5</v>
      </c>
    </row>
    <row r="386" spans="1:15" x14ac:dyDescent="0.25">
      <c r="A386" s="28">
        <v>2</v>
      </c>
      <c r="B386" s="28" t="s">
        <v>76</v>
      </c>
      <c r="C386" s="28"/>
      <c r="D386" s="28"/>
      <c r="E386" s="29">
        <v>2.5000000000000001E-3</v>
      </c>
      <c r="F386" s="28" t="s">
        <v>49</v>
      </c>
      <c r="G386" s="29">
        <v>0.1875</v>
      </c>
      <c r="H386" s="28" t="s">
        <v>51</v>
      </c>
      <c r="I386" s="29">
        <v>0</v>
      </c>
      <c r="J386" s="28" t="s">
        <v>53</v>
      </c>
      <c r="K386" s="29">
        <v>4.6874999999999998E-4</v>
      </c>
      <c r="L386" s="28"/>
      <c r="M386" s="30">
        <v>0.796624</v>
      </c>
      <c r="N386" s="28"/>
      <c r="O386" s="29">
        <v>5.8346557617187498E-5</v>
      </c>
    </row>
    <row r="387" spans="1:15" x14ac:dyDescent="0.25">
      <c r="A387" s="28">
        <v>2</v>
      </c>
      <c r="B387" s="28" t="s">
        <v>76</v>
      </c>
      <c r="C387" s="28"/>
      <c r="D387" s="28"/>
      <c r="E387" s="29">
        <v>1.875E-4</v>
      </c>
      <c r="F387" s="28" t="s">
        <v>49</v>
      </c>
      <c r="G387" s="29">
        <v>0.1875</v>
      </c>
      <c r="H387" s="28" t="s">
        <v>51</v>
      </c>
      <c r="I387" s="29">
        <v>0</v>
      </c>
      <c r="J387" s="28" t="s">
        <v>53</v>
      </c>
      <c r="K387" s="29">
        <v>3.5160000000000002E-5</v>
      </c>
      <c r="L387" s="28"/>
      <c r="M387" s="30">
        <v>5.9747000000000001E-2</v>
      </c>
      <c r="N387" s="28"/>
      <c r="O387" s="29">
        <v>4.3764585937499998E-6</v>
      </c>
    </row>
    <row r="388" spans="1:15" x14ac:dyDescent="0.25">
      <c r="A388" s="28">
        <v>2</v>
      </c>
      <c r="B388" s="28" t="s">
        <v>76</v>
      </c>
      <c r="C388" s="28"/>
      <c r="D388" s="28"/>
      <c r="E388" s="29">
        <v>1.6666700000000001E-3</v>
      </c>
      <c r="F388" s="28" t="s">
        <v>49</v>
      </c>
      <c r="G388" s="29">
        <v>0.1875</v>
      </c>
      <c r="H388" s="28" t="s">
        <v>51</v>
      </c>
      <c r="I388" s="29">
        <v>0</v>
      </c>
      <c r="J388" s="28" t="s">
        <v>53</v>
      </c>
      <c r="K388" s="29">
        <v>3.1250000000000001E-4</v>
      </c>
      <c r="L388" s="28"/>
      <c r="M388" s="30">
        <v>0.531084</v>
      </c>
      <c r="N388" s="28"/>
      <c r="O388" s="29">
        <v>3.8897705078124999E-5</v>
      </c>
    </row>
    <row r="389" spans="1:15" x14ac:dyDescent="0.25">
      <c r="A389" s="28">
        <v>2</v>
      </c>
      <c r="B389" s="28" t="s">
        <v>76</v>
      </c>
      <c r="C389" s="28"/>
      <c r="D389" s="28"/>
      <c r="E389" s="29">
        <v>5.5555999999999997E-4</v>
      </c>
      <c r="F389" s="28" t="s">
        <v>49</v>
      </c>
      <c r="G389" s="29">
        <v>0.1875</v>
      </c>
      <c r="H389" s="28" t="s">
        <v>51</v>
      </c>
      <c r="I389" s="29">
        <v>0</v>
      </c>
      <c r="J389" s="28" t="s">
        <v>53</v>
      </c>
      <c r="K389" s="29">
        <v>1.0417E-4</v>
      </c>
      <c r="L389" s="28"/>
      <c r="M389" s="30">
        <v>0.17702899999999999</v>
      </c>
      <c r="N389" s="28"/>
      <c r="O389" s="29">
        <v>1.29663166015625E-5</v>
      </c>
    </row>
    <row r="390" spans="1:15" x14ac:dyDescent="0.25">
      <c r="A390" s="28">
        <v>2</v>
      </c>
      <c r="B390" s="28" t="s">
        <v>76</v>
      </c>
      <c r="C390" s="28"/>
      <c r="D390" s="28"/>
      <c r="E390" s="29">
        <v>2.5000000000000001E-3</v>
      </c>
      <c r="F390" s="28" t="s">
        <v>49</v>
      </c>
      <c r="G390" s="29">
        <v>0.1875</v>
      </c>
      <c r="H390" s="28" t="s">
        <v>51</v>
      </c>
      <c r="I390" s="29">
        <v>0</v>
      </c>
      <c r="J390" s="28" t="s">
        <v>53</v>
      </c>
      <c r="K390" s="29">
        <v>4.6874999999999998E-4</v>
      </c>
      <c r="L390" s="28"/>
      <c r="M390" s="30">
        <v>0.79662500000000003</v>
      </c>
      <c r="N390" s="28"/>
      <c r="O390" s="29">
        <v>5.8346557617187498E-5</v>
      </c>
    </row>
    <row r="391" spans="1:15" x14ac:dyDescent="0.25">
      <c r="A391" s="28">
        <v>2</v>
      </c>
      <c r="B391" s="28" t="s">
        <v>76</v>
      </c>
      <c r="C391" s="28"/>
      <c r="D391" s="28"/>
      <c r="E391" s="29">
        <v>5.5555999999999997E-4</v>
      </c>
      <c r="F391" s="28" t="s">
        <v>49</v>
      </c>
      <c r="G391" s="29">
        <v>0.1875</v>
      </c>
      <c r="H391" s="28" t="s">
        <v>51</v>
      </c>
      <c r="I391" s="29">
        <v>0</v>
      </c>
      <c r="J391" s="28" t="s">
        <v>53</v>
      </c>
      <c r="K391" s="29">
        <v>1.0417E-4</v>
      </c>
      <c r="L391" s="28"/>
      <c r="M391" s="30">
        <v>0.17702899999999999</v>
      </c>
      <c r="N391" s="28"/>
      <c r="O391" s="29">
        <v>1.29663166015625E-5</v>
      </c>
    </row>
    <row r="392" spans="1:15" x14ac:dyDescent="0.25">
      <c r="A392" s="28">
        <v>2</v>
      </c>
      <c r="B392" s="28" t="s">
        <v>76</v>
      </c>
      <c r="C392" s="28"/>
      <c r="D392" s="28"/>
      <c r="E392" s="29">
        <v>1.6666700000000001E-3</v>
      </c>
      <c r="F392" s="28" t="s">
        <v>49</v>
      </c>
      <c r="G392" s="29">
        <v>0.1875</v>
      </c>
      <c r="H392" s="28" t="s">
        <v>51</v>
      </c>
      <c r="I392" s="29">
        <v>0</v>
      </c>
      <c r="J392" s="28" t="s">
        <v>53</v>
      </c>
      <c r="K392" s="29">
        <v>3.1250000000000001E-4</v>
      </c>
      <c r="L392" s="28"/>
      <c r="M392" s="30">
        <v>0.531084</v>
      </c>
      <c r="N392" s="28"/>
      <c r="O392" s="29">
        <v>3.8897705078124999E-5</v>
      </c>
    </row>
    <row r="393" spans="1:15" x14ac:dyDescent="0.25">
      <c r="A393" s="18">
        <v>2</v>
      </c>
      <c r="B393" s="18" t="s">
        <v>76</v>
      </c>
      <c r="C393" s="18"/>
      <c r="D393" s="18"/>
      <c r="E393" s="19">
        <v>2.5000000000000001E-3</v>
      </c>
      <c r="F393" s="18" t="s">
        <v>49</v>
      </c>
      <c r="G393" s="19">
        <v>0.1875</v>
      </c>
      <c r="H393" s="18" t="s">
        <v>51</v>
      </c>
      <c r="I393" s="19">
        <v>0</v>
      </c>
      <c r="J393" s="18" t="s">
        <v>53</v>
      </c>
      <c r="K393" s="19">
        <v>4.6874999999999998E-4</v>
      </c>
      <c r="L393" s="18"/>
      <c r="M393" s="20">
        <v>0.79662500000000003</v>
      </c>
      <c r="N393" s="18"/>
      <c r="O393" s="19">
        <v>5.8346557617187498E-5</v>
      </c>
    </row>
    <row r="394" spans="1:15" x14ac:dyDescent="0.25">
      <c r="A394" s="21" t="s">
        <v>61</v>
      </c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2">
        <v>4.0428759999999997</v>
      </c>
      <c r="N394" s="21"/>
      <c r="O394" s="23">
        <v>2.9611049140624998E-4</v>
      </c>
    </row>
    <row r="396" spans="1:15" x14ac:dyDescent="0.25">
      <c r="A396" s="26" t="s">
        <v>57</v>
      </c>
      <c r="B396" s="44" t="s">
        <v>168</v>
      </c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6"/>
    </row>
    <row r="397" spans="1:15" x14ac:dyDescent="0.25">
      <c r="A397" s="27" t="s">
        <v>214</v>
      </c>
      <c r="B397" s="41" t="s">
        <v>68</v>
      </c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3"/>
    </row>
    <row r="399" spans="1:15" x14ac:dyDescent="0.25">
      <c r="A399" s="18">
        <v>28</v>
      </c>
      <c r="B399" s="18" t="s">
        <v>117</v>
      </c>
      <c r="C399" s="18"/>
      <c r="D399" s="18"/>
      <c r="E399" s="19">
        <v>0.5</v>
      </c>
      <c r="F399" s="18" t="s">
        <v>49</v>
      </c>
      <c r="G399" s="19">
        <v>0.16666666999999999</v>
      </c>
      <c r="H399" s="18" t="s">
        <v>51</v>
      </c>
      <c r="I399" s="19">
        <v>0</v>
      </c>
      <c r="J399" s="18" t="s">
        <v>53</v>
      </c>
      <c r="K399" s="19">
        <v>8.3333340000000006E-2</v>
      </c>
      <c r="L399" s="18"/>
      <c r="M399" s="20">
        <v>240</v>
      </c>
      <c r="N399" s="18"/>
      <c r="O399" s="19">
        <v>1.5625001249999999E-2</v>
      </c>
    </row>
    <row r="400" spans="1:15" x14ac:dyDescent="0.25">
      <c r="A400" s="21" t="s">
        <v>61</v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2">
        <v>240</v>
      </c>
      <c r="N400" s="21"/>
      <c r="O400" s="23">
        <v>1.5625001249999999E-2</v>
      </c>
    </row>
    <row r="402" spans="1:15" x14ac:dyDescent="0.25">
      <c r="A402" s="26" t="s">
        <v>57</v>
      </c>
      <c r="B402" s="44" t="s">
        <v>169</v>
      </c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6"/>
    </row>
    <row r="403" spans="1:15" x14ac:dyDescent="0.25">
      <c r="A403" s="27" t="s">
        <v>214</v>
      </c>
      <c r="B403" s="41" t="s">
        <v>68</v>
      </c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3"/>
    </row>
    <row r="405" spans="1:15" x14ac:dyDescent="0.25">
      <c r="A405" s="28">
        <v>3</v>
      </c>
      <c r="B405" s="28" t="s">
        <v>19</v>
      </c>
      <c r="C405" s="28"/>
      <c r="D405" s="28"/>
      <c r="E405" s="29">
        <v>0.125</v>
      </c>
      <c r="F405" s="28" t="s">
        <v>49</v>
      </c>
      <c r="G405" s="29">
        <v>0.16666666999999999</v>
      </c>
      <c r="H405" s="28" t="s">
        <v>51</v>
      </c>
      <c r="I405" s="29">
        <v>0</v>
      </c>
      <c r="J405" s="28" t="s">
        <v>53</v>
      </c>
      <c r="K405" s="29">
        <v>2.0833330000000001E-2</v>
      </c>
      <c r="L405" s="28"/>
      <c r="M405" s="30">
        <v>30</v>
      </c>
      <c r="N405" s="28"/>
      <c r="O405" s="29">
        <v>1.9531246874999999E-3</v>
      </c>
    </row>
    <row r="406" spans="1:15" x14ac:dyDescent="0.25">
      <c r="A406" s="28">
        <v>15</v>
      </c>
      <c r="B406" s="28" t="s">
        <v>23</v>
      </c>
      <c r="C406" s="28"/>
      <c r="D406" s="28"/>
      <c r="E406" s="29">
        <v>0.125</v>
      </c>
      <c r="F406" s="28" t="s">
        <v>49</v>
      </c>
      <c r="G406" s="29">
        <v>0.15</v>
      </c>
      <c r="H406" s="28" t="s">
        <v>51</v>
      </c>
      <c r="I406" s="29">
        <v>0</v>
      </c>
      <c r="J406" s="28" t="s">
        <v>53</v>
      </c>
      <c r="K406" s="29">
        <v>1.8749999999999999E-2</v>
      </c>
      <c r="L406" s="28"/>
      <c r="M406" s="30">
        <v>5</v>
      </c>
      <c r="N406" s="28"/>
      <c r="O406" s="29">
        <v>2.9296874999999999E-4</v>
      </c>
    </row>
    <row r="407" spans="1:15" x14ac:dyDescent="0.25">
      <c r="A407" s="18">
        <v>20</v>
      </c>
      <c r="B407" s="18" t="s">
        <v>23</v>
      </c>
      <c r="C407" s="18"/>
      <c r="D407" s="18"/>
      <c r="E407" s="19">
        <v>0.5</v>
      </c>
      <c r="F407" s="18" t="s">
        <v>49</v>
      </c>
      <c r="G407" s="19">
        <v>0.15</v>
      </c>
      <c r="H407" s="18" t="s">
        <v>51</v>
      </c>
      <c r="I407" s="19">
        <v>0</v>
      </c>
      <c r="J407" s="18" t="s">
        <v>53</v>
      </c>
      <c r="K407" s="19">
        <v>7.4999999999999997E-2</v>
      </c>
      <c r="L407" s="18"/>
      <c r="M407" s="20">
        <v>80</v>
      </c>
      <c r="N407" s="18"/>
      <c r="O407" s="19">
        <v>4.6874999999999998E-3</v>
      </c>
    </row>
    <row r="408" spans="1:15" x14ac:dyDescent="0.25">
      <c r="A408" s="21" t="s">
        <v>61</v>
      </c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2">
        <v>115</v>
      </c>
      <c r="N408" s="21"/>
      <c r="O408" s="23">
        <v>6.9335934374999998E-3</v>
      </c>
    </row>
    <row r="410" spans="1:15" x14ac:dyDescent="0.25">
      <c r="A410" s="26" t="s">
        <v>57</v>
      </c>
      <c r="B410" s="44" t="s">
        <v>170</v>
      </c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6"/>
    </row>
    <row r="411" spans="1:15" x14ac:dyDescent="0.25">
      <c r="A411" s="27" t="s">
        <v>214</v>
      </c>
      <c r="B411" s="41" t="s">
        <v>171</v>
      </c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3"/>
    </row>
    <row r="413" spans="1:15" x14ac:dyDescent="0.25">
      <c r="A413" s="28">
        <v>2</v>
      </c>
      <c r="B413" s="28" t="s">
        <v>125</v>
      </c>
      <c r="C413" s="28"/>
      <c r="D413" s="28"/>
      <c r="E413" s="29">
        <v>1.6666670000000001E-2</v>
      </c>
      <c r="F413" s="28" t="s">
        <v>49</v>
      </c>
      <c r="G413" s="29">
        <v>0.15</v>
      </c>
      <c r="H413" s="28" t="s">
        <v>51</v>
      </c>
      <c r="I413" s="29">
        <v>0</v>
      </c>
      <c r="J413" s="28" t="s">
        <v>53</v>
      </c>
      <c r="K413" s="29">
        <v>2.5000000000000001E-3</v>
      </c>
      <c r="L413" s="28"/>
      <c r="M413" s="30">
        <v>5.3108339999999998</v>
      </c>
      <c r="N413" s="28"/>
      <c r="O413" s="29">
        <v>3.1118164062499999E-4</v>
      </c>
    </row>
    <row r="414" spans="1:15" x14ac:dyDescent="0.25">
      <c r="A414" s="18">
        <v>16</v>
      </c>
      <c r="B414" s="18" t="s">
        <v>126</v>
      </c>
      <c r="C414" s="18"/>
      <c r="D414" s="18"/>
      <c r="E414" s="19">
        <v>4.1666670000000003E-2</v>
      </c>
      <c r="F414" s="18" t="s">
        <v>49</v>
      </c>
      <c r="G414" s="19">
        <v>0.14285713999999999</v>
      </c>
      <c r="H414" s="18" t="s">
        <v>51</v>
      </c>
      <c r="I414" s="19">
        <v>0</v>
      </c>
      <c r="J414" s="18" t="s">
        <v>53</v>
      </c>
      <c r="K414" s="19">
        <v>5.9523800000000002E-3</v>
      </c>
      <c r="L414" s="18"/>
      <c r="M414" s="20">
        <v>5</v>
      </c>
      <c r="N414" s="18"/>
      <c r="O414" s="19">
        <v>2.7901781250000001E-4</v>
      </c>
    </row>
    <row r="415" spans="1:15" x14ac:dyDescent="0.25">
      <c r="A415" s="21" t="s">
        <v>61</v>
      </c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2">
        <v>10.310834</v>
      </c>
      <c r="N415" s="21"/>
      <c r="O415" s="23">
        <v>5.90199453125E-4</v>
      </c>
    </row>
    <row r="417" spans="1:15" x14ac:dyDescent="0.25">
      <c r="A417" s="26" t="s">
        <v>57</v>
      </c>
      <c r="B417" s="44" t="s">
        <v>172</v>
      </c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6"/>
    </row>
    <row r="418" spans="1:15" x14ac:dyDescent="0.25">
      <c r="A418" s="27" t="s">
        <v>214</v>
      </c>
      <c r="B418" s="41" t="s">
        <v>68</v>
      </c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3"/>
    </row>
    <row r="420" spans="1:15" x14ac:dyDescent="0.25">
      <c r="A420" s="18">
        <v>2</v>
      </c>
      <c r="B420" s="18" t="s">
        <v>60</v>
      </c>
      <c r="C420" s="18"/>
      <c r="D420" s="18"/>
      <c r="E420" s="19">
        <v>3.3333299999999998E-3</v>
      </c>
      <c r="F420" s="18" t="s">
        <v>49</v>
      </c>
      <c r="G420" s="19">
        <v>0.1875</v>
      </c>
      <c r="H420" s="18" t="s">
        <v>51</v>
      </c>
      <c r="I420" s="19">
        <v>0</v>
      </c>
      <c r="J420" s="18" t="s">
        <v>53</v>
      </c>
      <c r="K420" s="19">
        <v>6.2500000000000001E-4</v>
      </c>
      <c r="L420" s="18"/>
      <c r="M420" s="20">
        <v>1.0621659999999999</v>
      </c>
      <c r="N420" s="18"/>
      <c r="O420" s="19">
        <v>7.7795410156249997E-5</v>
      </c>
    </row>
    <row r="421" spans="1:15" x14ac:dyDescent="0.25">
      <c r="A421" s="21" t="s">
        <v>61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2">
        <v>1.0621659999999999</v>
      </c>
      <c r="N421" s="21"/>
      <c r="O421" s="23">
        <v>7.7795410156249997E-5</v>
      </c>
    </row>
    <row r="423" spans="1:15" x14ac:dyDescent="0.25">
      <c r="A423" s="26" t="s">
        <v>57</v>
      </c>
      <c r="B423" s="44" t="s">
        <v>173</v>
      </c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6"/>
    </row>
    <row r="424" spans="1:15" x14ac:dyDescent="0.25">
      <c r="A424" s="27" t="s">
        <v>214</v>
      </c>
      <c r="B424" s="41" t="s">
        <v>128</v>
      </c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3"/>
    </row>
    <row r="426" spans="1:15" x14ac:dyDescent="0.25">
      <c r="A426" s="18">
        <v>3</v>
      </c>
      <c r="B426" s="18" t="s">
        <v>174</v>
      </c>
      <c r="C426" s="18" t="s">
        <v>175</v>
      </c>
      <c r="D426" s="18"/>
      <c r="E426" s="19">
        <v>0.125</v>
      </c>
      <c r="F426" s="18" t="s">
        <v>49</v>
      </c>
      <c r="G426" s="19">
        <v>0.15</v>
      </c>
      <c r="H426" s="18" t="s">
        <v>51</v>
      </c>
      <c r="I426" s="19">
        <v>0</v>
      </c>
      <c r="J426" s="18" t="s">
        <v>53</v>
      </c>
      <c r="K426" s="19">
        <v>1.8749999999999999E-2</v>
      </c>
      <c r="L426" s="18"/>
      <c r="M426" s="20">
        <v>30</v>
      </c>
      <c r="N426" s="18"/>
      <c r="O426" s="19">
        <v>1.7578125E-3</v>
      </c>
    </row>
    <row r="427" spans="1:15" x14ac:dyDescent="0.25">
      <c r="A427" s="21" t="s">
        <v>61</v>
      </c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2">
        <v>30</v>
      </c>
      <c r="N427" s="21"/>
      <c r="O427" s="23">
        <v>1.7578125E-3</v>
      </c>
    </row>
    <row r="429" spans="1:15" x14ac:dyDescent="0.25">
      <c r="A429" s="26" t="s">
        <v>57</v>
      </c>
      <c r="B429" s="44" t="s">
        <v>176</v>
      </c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6"/>
    </row>
    <row r="430" spans="1:15" x14ac:dyDescent="0.25">
      <c r="A430" s="27" t="s">
        <v>214</v>
      </c>
      <c r="B430" s="41" t="s">
        <v>86</v>
      </c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3"/>
    </row>
    <row r="432" spans="1:15" x14ac:dyDescent="0.25">
      <c r="A432" s="28">
        <v>15</v>
      </c>
      <c r="B432" s="28" t="s">
        <v>177</v>
      </c>
      <c r="C432" s="28"/>
      <c r="D432" s="28"/>
      <c r="E432" s="29">
        <v>0.25</v>
      </c>
      <c r="F432" s="28" t="s">
        <v>49</v>
      </c>
      <c r="G432" s="29">
        <v>0.15</v>
      </c>
      <c r="H432" s="28" t="s">
        <v>51</v>
      </c>
      <c r="I432" s="29">
        <v>0</v>
      </c>
      <c r="J432" s="28" t="s">
        <v>53</v>
      </c>
      <c r="K432" s="29">
        <v>3.7499999999999999E-2</v>
      </c>
      <c r="L432" s="28"/>
      <c r="M432" s="30">
        <v>10</v>
      </c>
      <c r="N432" s="28"/>
      <c r="O432" s="29">
        <v>5.8593749999999998E-4</v>
      </c>
    </row>
    <row r="433" spans="1:15" x14ac:dyDescent="0.25">
      <c r="A433" s="18">
        <v>18</v>
      </c>
      <c r="B433" s="18" t="s">
        <v>177</v>
      </c>
      <c r="C433" s="18"/>
      <c r="D433" s="18"/>
      <c r="E433" s="19">
        <v>0.5</v>
      </c>
      <c r="F433" s="18" t="s">
        <v>49</v>
      </c>
      <c r="G433" s="19">
        <v>0.15</v>
      </c>
      <c r="H433" s="18" t="s">
        <v>51</v>
      </c>
      <c r="I433" s="19">
        <v>0</v>
      </c>
      <c r="J433" s="18" t="s">
        <v>53</v>
      </c>
      <c r="K433" s="19">
        <v>7.4999999999999997E-2</v>
      </c>
      <c r="L433" s="18"/>
      <c r="M433" s="20">
        <v>160</v>
      </c>
      <c r="N433" s="18"/>
      <c r="O433" s="19">
        <v>9.3749999999999997E-3</v>
      </c>
    </row>
    <row r="434" spans="1:15" x14ac:dyDescent="0.25">
      <c r="A434" s="21" t="s">
        <v>61</v>
      </c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2">
        <v>170</v>
      </c>
      <c r="N434" s="21"/>
      <c r="O434" s="23">
        <v>9.9609374999999993E-3</v>
      </c>
    </row>
    <row r="436" spans="1:15" x14ac:dyDescent="0.25">
      <c r="A436" s="26" t="s">
        <v>57</v>
      </c>
      <c r="B436" s="44" t="s">
        <v>178</v>
      </c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6"/>
    </row>
    <row r="437" spans="1:15" x14ac:dyDescent="0.25">
      <c r="A437" s="27" t="s">
        <v>214</v>
      </c>
      <c r="B437" s="41" t="s">
        <v>179</v>
      </c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3"/>
    </row>
    <row r="439" spans="1:15" x14ac:dyDescent="0.25">
      <c r="A439" s="28">
        <v>2</v>
      </c>
      <c r="B439" s="28" t="s">
        <v>76</v>
      </c>
      <c r="C439" s="28"/>
      <c r="D439" s="28"/>
      <c r="E439" s="29">
        <v>2.0000000000000001E-4</v>
      </c>
      <c r="F439" s="28" t="s">
        <v>49</v>
      </c>
      <c r="G439" s="29">
        <v>0.1875</v>
      </c>
      <c r="H439" s="28" t="s">
        <v>51</v>
      </c>
      <c r="I439" s="29">
        <v>0</v>
      </c>
      <c r="J439" s="28" t="s">
        <v>53</v>
      </c>
      <c r="K439" s="29">
        <v>3.7499999999999997E-5</v>
      </c>
      <c r="L439" s="28"/>
      <c r="M439" s="30">
        <v>6.3729999999999995E-2</v>
      </c>
      <c r="N439" s="28"/>
      <c r="O439" s="29">
        <v>4.6677246093749993E-6</v>
      </c>
    </row>
    <row r="440" spans="1:15" x14ac:dyDescent="0.25">
      <c r="A440" s="28">
        <v>2</v>
      </c>
      <c r="B440" s="28" t="s">
        <v>76</v>
      </c>
      <c r="C440" s="28"/>
      <c r="D440" s="28"/>
      <c r="E440" s="29">
        <v>5.9999999999999995E-4</v>
      </c>
      <c r="F440" s="28" t="s">
        <v>49</v>
      </c>
      <c r="G440" s="29">
        <v>0.1875</v>
      </c>
      <c r="H440" s="28" t="s">
        <v>51</v>
      </c>
      <c r="I440" s="29">
        <v>0</v>
      </c>
      <c r="J440" s="28" t="s">
        <v>53</v>
      </c>
      <c r="K440" s="29">
        <v>1.125E-4</v>
      </c>
      <c r="L440" s="28"/>
      <c r="M440" s="30">
        <v>0.19119</v>
      </c>
      <c r="N440" s="28"/>
      <c r="O440" s="29">
        <v>1.4003173828125E-5</v>
      </c>
    </row>
    <row r="441" spans="1:15" x14ac:dyDescent="0.25">
      <c r="A441" s="28">
        <v>2</v>
      </c>
      <c r="B441" s="28" t="s">
        <v>76</v>
      </c>
      <c r="C441" s="28"/>
      <c r="D441" s="28"/>
      <c r="E441" s="29">
        <v>2.0000000000000001E-4</v>
      </c>
      <c r="F441" s="28" t="s">
        <v>49</v>
      </c>
      <c r="G441" s="29">
        <v>0.1875</v>
      </c>
      <c r="H441" s="28" t="s">
        <v>51</v>
      </c>
      <c r="I441" s="29">
        <v>0</v>
      </c>
      <c r="J441" s="28" t="s">
        <v>53</v>
      </c>
      <c r="K441" s="29">
        <v>3.7499999999999997E-5</v>
      </c>
      <c r="L441" s="28"/>
      <c r="M441" s="30">
        <v>6.3729999999999995E-2</v>
      </c>
      <c r="N441" s="28"/>
      <c r="O441" s="29">
        <v>4.6677246093749993E-6</v>
      </c>
    </row>
    <row r="442" spans="1:15" x14ac:dyDescent="0.25">
      <c r="A442" s="28">
        <v>2</v>
      </c>
      <c r="B442" s="28" t="s">
        <v>76</v>
      </c>
      <c r="C442" s="28"/>
      <c r="D442" s="28"/>
      <c r="E442" s="29">
        <v>2.0000000000000001E-4</v>
      </c>
      <c r="F442" s="28" t="s">
        <v>49</v>
      </c>
      <c r="G442" s="29">
        <v>0.1875</v>
      </c>
      <c r="H442" s="28" t="s">
        <v>51</v>
      </c>
      <c r="I442" s="29">
        <v>0</v>
      </c>
      <c r="J442" s="28" t="s">
        <v>53</v>
      </c>
      <c r="K442" s="29">
        <v>3.7499999999999997E-5</v>
      </c>
      <c r="L442" s="28"/>
      <c r="M442" s="30">
        <v>6.3729999999999995E-2</v>
      </c>
      <c r="N442" s="28"/>
      <c r="O442" s="29">
        <v>4.6677246093749993E-6</v>
      </c>
    </row>
    <row r="443" spans="1:15" x14ac:dyDescent="0.25">
      <c r="A443" s="28">
        <v>2</v>
      </c>
      <c r="B443" s="28" t="s">
        <v>76</v>
      </c>
      <c r="C443" s="28"/>
      <c r="D443" s="28"/>
      <c r="E443" s="29">
        <v>8.9999999999999998E-4</v>
      </c>
      <c r="F443" s="28" t="s">
        <v>49</v>
      </c>
      <c r="G443" s="29">
        <v>0.1875</v>
      </c>
      <c r="H443" s="28" t="s">
        <v>51</v>
      </c>
      <c r="I443" s="29">
        <v>0</v>
      </c>
      <c r="J443" s="28" t="s">
        <v>53</v>
      </c>
      <c r="K443" s="29">
        <v>1.6875000000000001E-4</v>
      </c>
      <c r="L443" s="28"/>
      <c r="M443" s="30">
        <v>0.28678399999999998</v>
      </c>
      <c r="N443" s="28"/>
      <c r="O443" s="29">
        <v>2.10047607421875E-5</v>
      </c>
    </row>
    <row r="444" spans="1:15" x14ac:dyDescent="0.25">
      <c r="A444" s="28">
        <v>2</v>
      </c>
      <c r="B444" s="28" t="s">
        <v>76</v>
      </c>
      <c r="C444" s="28"/>
      <c r="D444" s="28"/>
      <c r="E444" s="29">
        <v>8.9999999999999998E-4</v>
      </c>
      <c r="F444" s="28" t="s">
        <v>49</v>
      </c>
      <c r="G444" s="29">
        <v>0.1875</v>
      </c>
      <c r="H444" s="28" t="s">
        <v>51</v>
      </c>
      <c r="I444" s="29">
        <v>0</v>
      </c>
      <c r="J444" s="28" t="s">
        <v>53</v>
      </c>
      <c r="K444" s="29">
        <v>1.6875000000000001E-4</v>
      </c>
      <c r="L444" s="28"/>
      <c r="M444" s="30">
        <v>0.28678500000000001</v>
      </c>
      <c r="N444" s="28"/>
      <c r="O444" s="29">
        <v>2.10047607421875E-5</v>
      </c>
    </row>
    <row r="445" spans="1:15" x14ac:dyDescent="0.25">
      <c r="A445" s="28">
        <v>2</v>
      </c>
      <c r="B445" s="28" t="s">
        <v>76</v>
      </c>
      <c r="C445" s="28"/>
      <c r="D445" s="28"/>
      <c r="E445" s="29">
        <v>8.9999999999999998E-4</v>
      </c>
      <c r="F445" s="28" t="s">
        <v>49</v>
      </c>
      <c r="G445" s="29">
        <v>0.1875</v>
      </c>
      <c r="H445" s="28" t="s">
        <v>51</v>
      </c>
      <c r="I445" s="29">
        <v>0</v>
      </c>
      <c r="J445" s="28" t="s">
        <v>53</v>
      </c>
      <c r="K445" s="29">
        <v>1.6875000000000001E-4</v>
      </c>
      <c r="L445" s="28"/>
      <c r="M445" s="30">
        <v>0.28678500000000001</v>
      </c>
      <c r="N445" s="28"/>
      <c r="O445" s="29">
        <v>2.10047607421875E-5</v>
      </c>
    </row>
    <row r="446" spans="1:15" x14ac:dyDescent="0.25">
      <c r="A446" s="28">
        <v>2</v>
      </c>
      <c r="B446" s="28" t="s">
        <v>76</v>
      </c>
      <c r="C446" s="28"/>
      <c r="D446" s="28"/>
      <c r="E446" s="29">
        <v>5.9999999999999995E-4</v>
      </c>
      <c r="F446" s="28" t="s">
        <v>49</v>
      </c>
      <c r="G446" s="29">
        <v>0.1875</v>
      </c>
      <c r="H446" s="28" t="s">
        <v>51</v>
      </c>
      <c r="I446" s="29">
        <v>0</v>
      </c>
      <c r="J446" s="28" t="s">
        <v>53</v>
      </c>
      <c r="K446" s="29">
        <v>1.125E-4</v>
      </c>
      <c r="L446" s="28"/>
      <c r="M446" s="30">
        <v>0.19119</v>
      </c>
      <c r="N446" s="28"/>
      <c r="O446" s="29">
        <v>1.4003173828125E-5</v>
      </c>
    </row>
    <row r="447" spans="1:15" x14ac:dyDescent="0.25">
      <c r="A447" s="18">
        <v>2</v>
      </c>
      <c r="B447" s="18" t="s">
        <v>76</v>
      </c>
      <c r="C447" s="18"/>
      <c r="D447" s="18"/>
      <c r="E447" s="19">
        <v>6.7500000000000001E-5</v>
      </c>
      <c r="F447" s="18" t="s">
        <v>49</v>
      </c>
      <c r="G447" s="19">
        <v>0.1875</v>
      </c>
      <c r="H447" s="18" t="s">
        <v>51</v>
      </c>
      <c r="I447" s="19">
        <v>0</v>
      </c>
      <c r="J447" s="18" t="s">
        <v>53</v>
      </c>
      <c r="K447" s="19">
        <v>1.2660000000000001E-5</v>
      </c>
      <c r="L447" s="18"/>
      <c r="M447" s="20">
        <v>2.1509E-2</v>
      </c>
      <c r="N447" s="18"/>
      <c r="O447" s="19">
        <v>1.5758238281250001E-6</v>
      </c>
    </row>
    <row r="448" spans="1:15" x14ac:dyDescent="0.25">
      <c r="A448" s="21" t="s">
        <v>61</v>
      </c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2">
        <v>1.455433</v>
      </c>
      <c r="N448" s="21"/>
      <c r="O448" s="23">
        <v>1.065996275390625E-4</v>
      </c>
    </row>
    <row r="450" spans="1:15" x14ac:dyDescent="0.25">
      <c r="A450" s="26" t="s">
        <v>57</v>
      </c>
      <c r="B450" s="44" t="s">
        <v>180</v>
      </c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6"/>
    </row>
    <row r="451" spans="1:15" x14ac:dyDescent="0.25">
      <c r="A451" s="27" t="s">
        <v>214</v>
      </c>
      <c r="B451" s="41" t="s">
        <v>181</v>
      </c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3"/>
    </row>
    <row r="453" spans="1:15" x14ac:dyDescent="0.25">
      <c r="A453" s="28">
        <v>2</v>
      </c>
      <c r="B453" s="28" t="s">
        <v>125</v>
      </c>
      <c r="C453" s="28"/>
      <c r="D453" s="28"/>
      <c r="E453" s="29">
        <v>1.6666670000000001E-2</v>
      </c>
      <c r="F453" s="28" t="s">
        <v>49</v>
      </c>
      <c r="G453" s="29">
        <v>0.15</v>
      </c>
      <c r="H453" s="28" t="s">
        <v>51</v>
      </c>
      <c r="I453" s="29">
        <v>0</v>
      </c>
      <c r="J453" s="28" t="s">
        <v>53</v>
      </c>
      <c r="K453" s="29">
        <v>2.5000000000000001E-3</v>
      </c>
      <c r="L453" s="28"/>
      <c r="M453" s="30">
        <v>5.3108339999999998</v>
      </c>
      <c r="N453" s="28"/>
      <c r="O453" s="29">
        <v>3.1118164062499999E-4</v>
      </c>
    </row>
    <row r="454" spans="1:15" x14ac:dyDescent="0.25">
      <c r="A454" s="18">
        <v>16</v>
      </c>
      <c r="B454" s="18" t="s">
        <v>126</v>
      </c>
      <c r="C454" s="18"/>
      <c r="D454" s="18"/>
      <c r="E454" s="19">
        <v>4.1666670000000003E-2</v>
      </c>
      <c r="F454" s="18" t="s">
        <v>49</v>
      </c>
      <c r="G454" s="19">
        <v>0.14285713999999999</v>
      </c>
      <c r="H454" s="18" t="s">
        <v>51</v>
      </c>
      <c r="I454" s="19">
        <v>0</v>
      </c>
      <c r="J454" s="18" t="s">
        <v>53</v>
      </c>
      <c r="K454" s="19">
        <v>5.9523800000000002E-3</v>
      </c>
      <c r="L454" s="18"/>
      <c r="M454" s="20">
        <v>5</v>
      </c>
      <c r="N454" s="18"/>
      <c r="O454" s="19">
        <v>2.7901781250000001E-4</v>
      </c>
    </row>
    <row r="455" spans="1:15" x14ac:dyDescent="0.25">
      <c r="A455" s="21" t="s">
        <v>61</v>
      </c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2">
        <v>10.310834</v>
      </c>
      <c r="N455" s="21"/>
      <c r="O455" s="23">
        <v>5.90199453125E-4</v>
      </c>
    </row>
    <row r="457" spans="1:15" x14ac:dyDescent="0.25">
      <c r="A457" s="26" t="s">
        <v>57</v>
      </c>
      <c r="B457" s="44" t="s">
        <v>182</v>
      </c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6"/>
    </row>
    <row r="458" spans="1:15" x14ac:dyDescent="0.25">
      <c r="A458" s="27" t="s">
        <v>214</v>
      </c>
      <c r="B458" s="41" t="s">
        <v>183</v>
      </c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3"/>
    </row>
    <row r="460" spans="1:15" x14ac:dyDescent="0.25">
      <c r="A460" s="18">
        <v>2</v>
      </c>
      <c r="B460" s="18" t="s">
        <v>33</v>
      </c>
      <c r="C460" s="18"/>
      <c r="D460" s="18"/>
      <c r="E460" s="19">
        <v>3.3333299999999998E-3</v>
      </c>
      <c r="F460" s="18" t="s">
        <v>49</v>
      </c>
      <c r="G460" s="19">
        <v>0.1875</v>
      </c>
      <c r="H460" s="18" t="s">
        <v>51</v>
      </c>
      <c r="I460" s="19">
        <v>0</v>
      </c>
      <c r="J460" s="18" t="s">
        <v>53</v>
      </c>
      <c r="K460" s="19">
        <v>6.2500000000000001E-4</v>
      </c>
      <c r="L460" s="18"/>
      <c r="M460" s="20">
        <v>1.0621659999999999</v>
      </c>
      <c r="N460" s="18"/>
      <c r="O460" s="19">
        <v>7.7795410156249997E-5</v>
      </c>
    </row>
    <row r="461" spans="1:15" x14ac:dyDescent="0.25">
      <c r="A461" s="21" t="s">
        <v>61</v>
      </c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2">
        <v>1.0621659999999999</v>
      </c>
      <c r="N461" s="21"/>
      <c r="O461" s="23">
        <v>7.7795410156249997E-5</v>
      </c>
    </row>
    <row r="463" spans="1:15" x14ac:dyDescent="0.25">
      <c r="A463" s="26" t="s">
        <v>57</v>
      </c>
      <c r="B463" s="44" t="s">
        <v>184</v>
      </c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6"/>
    </row>
    <row r="464" spans="1:15" x14ac:dyDescent="0.25">
      <c r="A464" s="27" t="s">
        <v>214</v>
      </c>
      <c r="B464" s="41" t="s">
        <v>68</v>
      </c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3"/>
    </row>
    <row r="466" spans="1:15" x14ac:dyDescent="0.25">
      <c r="A466" s="18">
        <v>2</v>
      </c>
      <c r="B466" s="18" t="s">
        <v>35</v>
      </c>
      <c r="C466" s="18"/>
      <c r="D466" s="18"/>
      <c r="E466" s="19">
        <v>0.02</v>
      </c>
      <c r="F466" s="18" t="s">
        <v>49</v>
      </c>
      <c r="G466" s="19">
        <v>0.1875</v>
      </c>
      <c r="H466" s="18" t="s">
        <v>51</v>
      </c>
      <c r="I466" s="19">
        <v>0</v>
      </c>
      <c r="J466" s="18" t="s">
        <v>53</v>
      </c>
      <c r="K466" s="19">
        <v>3.7499999999999999E-3</v>
      </c>
      <c r="L466" s="18"/>
      <c r="M466" s="20">
        <v>6.3730000000000002</v>
      </c>
      <c r="N466" s="18"/>
      <c r="O466" s="19">
        <v>4.6677246093749998E-4</v>
      </c>
    </row>
    <row r="467" spans="1:15" x14ac:dyDescent="0.25">
      <c r="A467" s="21" t="s">
        <v>61</v>
      </c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2">
        <v>6.3730000000000002</v>
      </c>
      <c r="N467" s="21"/>
      <c r="O467" s="23">
        <v>4.6677246093749998E-4</v>
      </c>
    </row>
    <row r="469" spans="1:15" x14ac:dyDescent="0.25">
      <c r="A469" s="26" t="s">
        <v>57</v>
      </c>
      <c r="B469" s="44" t="s">
        <v>185</v>
      </c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6"/>
    </row>
    <row r="470" spans="1:15" x14ac:dyDescent="0.25">
      <c r="A470" s="27" t="s">
        <v>214</v>
      </c>
      <c r="B470" s="41" t="s">
        <v>186</v>
      </c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3"/>
    </row>
    <row r="472" spans="1:15" x14ac:dyDescent="0.25">
      <c r="A472" s="28">
        <v>2</v>
      </c>
      <c r="B472" s="28" t="s">
        <v>76</v>
      </c>
      <c r="C472" s="28"/>
      <c r="D472" s="28"/>
      <c r="E472" s="29">
        <v>6.6669999999999997E-5</v>
      </c>
      <c r="F472" s="28" t="s">
        <v>49</v>
      </c>
      <c r="G472" s="29">
        <v>0.1875</v>
      </c>
      <c r="H472" s="28" t="s">
        <v>51</v>
      </c>
      <c r="I472" s="29">
        <v>0</v>
      </c>
      <c r="J472" s="28" t="s">
        <v>53</v>
      </c>
      <c r="K472" s="29">
        <v>1.2500000000000001E-5</v>
      </c>
      <c r="L472" s="28"/>
      <c r="M472" s="30">
        <v>2.1243999999999999E-2</v>
      </c>
      <c r="N472" s="28"/>
      <c r="O472" s="29">
        <v>1.555908203125E-6</v>
      </c>
    </row>
    <row r="473" spans="1:15" x14ac:dyDescent="0.25">
      <c r="A473" s="28">
        <v>2</v>
      </c>
      <c r="B473" s="28" t="s">
        <v>76</v>
      </c>
      <c r="C473" s="28"/>
      <c r="D473" s="28"/>
      <c r="E473" s="29">
        <v>1E-4</v>
      </c>
      <c r="F473" s="28" t="s">
        <v>49</v>
      </c>
      <c r="G473" s="29">
        <v>0.1875</v>
      </c>
      <c r="H473" s="28" t="s">
        <v>51</v>
      </c>
      <c r="I473" s="29">
        <v>0</v>
      </c>
      <c r="J473" s="28" t="s">
        <v>53</v>
      </c>
      <c r="K473" s="29">
        <v>1.8749999999999998E-5</v>
      </c>
      <c r="L473" s="28"/>
      <c r="M473" s="30">
        <v>3.1864000000000003E-2</v>
      </c>
      <c r="N473" s="28"/>
      <c r="O473" s="29">
        <v>2.3338623046875001E-6</v>
      </c>
    </row>
    <row r="474" spans="1:15" x14ac:dyDescent="0.25">
      <c r="A474" s="28">
        <v>2</v>
      </c>
      <c r="B474" s="28" t="s">
        <v>76</v>
      </c>
      <c r="C474" s="28"/>
      <c r="D474" s="28"/>
      <c r="E474" s="29">
        <v>2.2220000000000001E-5</v>
      </c>
      <c r="F474" s="28" t="s">
        <v>49</v>
      </c>
      <c r="G474" s="29">
        <v>0.1875</v>
      </c>
      <c r="H474" s="28" t="s">
        <v>51</v>
      </c>
      <c r="I474" s="29">
        <v>0</v>
      </c>
      <c r="J474" s="28" t="s">
        <v>53</v>
      </c>
      <c r="K474" s="29">
        <v>4.1699999999999999E-6</v>
      </c>
      <c r="L474" s="28"/>
      <c r="M474" s="30">
        <v>7.0800000000000004E-3</v>
      </c>
      <c r="N474" s="28"/>
      <c r="O474" s="29">
        <v>5.1905097656249994E-7</v>
      </c>
    </row>
    <row r="475" spans="1:15" x14ac:dyDescent="0.25">
      <c r="A475" s="28">
        <v>2</v>
      </c>
      <c r="B475" s="28" t="s">
        <v>76</v>
      </c>
      <c r="C475" s="28"/>
      <c r="D475" s="28"/>
      <c r="E475" s="29">
        <v>1E-4</v>
      </c>
      <c r="F475" s="28" t="s">
        <v>49</v>
      </c>
      <c r="G475" s="29">
        <v>0.1875</v>
      </c>
      <c r="H475" s="28" t="s">
        <v>51</v>
      </c>
      <c r="I475" s="29">
        <v>0</v>
      </c>
      <c r="J475" s="28" t="s">
        <v>53</v>
      </c>
      <c r="K475" s="29">
        <v>1.8749999999999998E-5</v>
      </c>
      <c r="L475" s="28"/>
      <c r="M475" s="30">
        <v>3.1864999999999997E-2</v>
      </c>
      <c r="N475" s="28"/>
      <c r="O475" s="29">
        <v>2.3338623046875001E-6</v>
      </c>
    </row>
    <row r="476" spans="1:15" x14ac:dyDescent="0.25">
      <c r="A476" s="28">
        <v>2</v>
      </c>
      <c r="B476" s="28" t="s">
        <v>76</v>
      </c>
      <c r="C476" s="28"/>
      <c r="D476" s="28"/>
      <c r="E476" s="29">
        <v>6.6669999999999997E-5</v>
      </c>
      <c r="F476" s="28" t="s">
        <v>49</v>
      </c>
      <c r="G476" s="29">
        <v>0.1875</v>
      </c>
      <c r="H476" s="28" t="s">
        <v>51</v>
      </c>
      <c r="I476" s="29">
        <v>0</v>
      </c>
      <c r="J476" s="28" t="s">
        <v>53</v>
      </c>
      <c r="K476" s="29">
        <v>1.2500000000000001E-5</v>
      </c>
      <c r="L476" s="28"/>
      <c r="M476" s="30">
        <v>2.1243999999999999E-2</v>
      </c>
      <c r="N476" s="28"/>
      <c r="O476" s="29">
        <v>1.555908203125E-6</v>
      </c>
    </row>
    <row r="477" spans="1:15" x14ac:dyDescent="0.25">
      <c r="A477" s="28">
        <v>2</v>
      </c>
      <c r="B477" s="28" t="s">
        <v>76</v>
      </c>
      <c r="C477" s="28"/>
      <c r="D477" s="28"/>
      <c r="E477" s="29">
        <v>2.2220000000000001E-5</v>
      </c>
      <c r="F477" s="28" t="s">
        <v>49</v>
      </c>
      <c r="G477" s="29">
        <v>0.1875</v>
      </c>
      <c r="H477" s="28" t="s">
        <v>51</v>
      </c>
      <c r="I477" s="29">
        <v>0</v>
      </c>
      <c r="J477" s="28" t="s">
        <v>53</v>
      </c>
      <c r="K477" s="29">
        <v>4.1699999999999999E-6</v>
      </c>
      <c r="L477" s="28"/>
      <c r="M477" s="30">
        <v>7.0800000000000004E-3</v>
      </c>
      <c r="N477" s="28"/>
      <c r="O477" s="29">
        <v>5.1905097656249994E-7</v>
      </c>
    </row>
    <row r="478" spans="1:15" x14ac:dyDescent="0.25">
      <c r="A478" s="28">
        <v>2</v>
      </c>
      <c r="B478" s="28" t="s">
        <v>76</v>
      </c>
      <c r="C478" s="28"/>
      <c r="D478" s="28"/>
      <c r="E478" s="29">
        <v>1E-4</v>
      </c>
      <c r="F478" s="28" t="s">
        <v>49</v>
      </c>
      <c r="G478" s="29">
        <v>0.1875</v>
      </c>
      <c r="H478" s="28" t="s">
        <v>51</v>
      </c>
      <c r="I478" s="29">
        <v>0</v>
      </c>
      <c r="J478" s="28" t="s">
        <v>53</v>
      </c>
      <c r="K478" s="29">
        <v>1.8749999999999998E-5</v>
      </c>
      <c r="L478" s="28"/>
      <c r="M478" s="30">
        <v>3.1864999999999997E-2</v>
      </c>
      <c r="N478" s="28"/>
      <c r="O478" s="29">
        <v>2.3338623046875001E-6</v>
      </c>
    </row>
    <row r="479" spans="1:15" x14ac:dyDescent="0.25">
      <c r="A479" s="28">
        <v>2</v>
      </c>
      <c r="B479" s="28" t="s">
        <v>76</v>
      </c>
      <c r="C479" s="28"/>
      <c r="D479" s="28"/>
      <c r="E479" s="29">
        <v>2.2220000000000001E-5</v>
      </c>
      <c r="F479" s="28" t="s">
        <v>49</v>
      </c>
      <c r="G479" s="29">
        <v>0.1875</v>
      </c>
      <c r="H479" s="28" t="s">
        <v>51</v>
      </c>
      <c r="I479" s="29">
        <v>0</v>
      </c>
      <c r="J479" s="28" t="s">
        <v>53</v>
      </c>
      <c r="K479" s="29">
        <v>4.1699999999999999E-6</v>
      </c>
      <c r="L479" s="28"/>
      <c r="M479" s="30">
        <v>7.0800000000000004E-3</v>
      </c>
      <c r="N479" s="28"/>
      <c r="O479" s="29">
        <v>5.1905097656249994E-7</v>
      </c>
    </row>
    <row r="480" spans="1:15" x14ac:dyDescent="0.25">
      <c r="A480" s="18">
        <v>2</v>
      </c>
      <c r="B480" s="18" t="s">
        <v>76</v>
      </c>
      <c r="C480" s="18"/>
      <c r="D480" s="18"/>
      <c r="E480" s="19">
        <v>7.5000000000000002E-6</v>
      </c>
      <c r="F480" s="18" t="s">
        <v>49</v>
      </c>
      <c r="G480" s="19">
        <v>0.1875</v>
      </c>
      <c r="H480" s="18" t="s">
        <v>51</v>
      </c>
      <c r="I480" s="19">
        <v>0</v>
      </c>
      <c r="J480" s="18" t="s">
        <v>53</v>
      </c>
      <c r="K480" s="19">
        <v>1.4100000000000001E-6</v>
      </c>
      <c r="L480" s="18"/>
      <c r="M480" s="20">
        <v>2.3900000000000002E-3</v>
      </c>
      <c r="N480" s="18"/>
      <c r="O480" s="19">
        <v>1.755064453125E-7</v>
      </c>
    </row>
    <row r="481" spans="1:15" x14ac:dyDescent="0.25">
      <c r="A481" s="21" t="s">
        <v>61</v>
      </c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2">
        <v>0.16171199999999999</v>
      </c>
      <c r="N481" s="21"/>
      <c r="O481" s="23">
        <v>1.18460626953125E-5</v>
      </c>
    </row>
    <row r="483" spans="1:15" x14ac:dyDescent="0.25">
      <c r="A483" s="26" t="s">
        <v>57</v>
      </c>
      <c r="B483" s="44" t="s">
        <v>187</v>
      </c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6"/>
    </row>
    <row r="484" spans="1:15" x14ac:dyDescent="0.25">
      <c r="A484" s="27" t="s">
        <v>214</v>
      </c>
      <c r="B484" s="41" t="s">
        <v>188</v>
      </c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3"/>
    </row>
    <row r="486" spans="1:15" x14ac:dyDescent="0.25">
      <c r="A486" s="28">
        <v>2</v>
      </c>
      <c r="B486" s="28" t="s">
        <v>76</v>
      </c>
      <c r="C486" s="28"/>
      <c r="D486" s="28"/>
      <c r="E486" s="29">
        <v>6.6669999999999997E-5</v>
      </c>
      <c r="F486" s="28" t="s">
        <v>49</v>
      </c>
      <c r="G486" s="29">
        <v>0.1875</v>
      </c>
      <c r="H486" s="28" t="s">
        <v>51</v>
      </c>
      <c r="I486" s="29">
        <v>0</v>
      </c>
      <c r="J486" s="28" t="s">
        <v>53</v>
      </c>
      <c r="K486" s="29">
        <v>1.2500000000000001E-5</v>
      </c>
      <c r="L486" s="28"/>
      <c r="M486" s="30">
        <v>2.1243999999999999E-2</v>
      </c>
      <c r="N486" s="28"/>
      <c r="O486" s="29">
        <v>1.555908203125E-6</v>
      </c>
    </row>
    <row r="487" spans="1:15" x14ac:dyDescent="0.25">
      <c r="A487" s="28">
        <v>2</v>
      </c>
      <c r="B487" s="28" t="s">
        <v>76</v>
      </c>
      <c r="C487" s="28"/>
      <c r="D487" s="28"/>
      <c r="E487" s="29">
        <v>2.2220000000000001E-5</v>
      </c>
      <c r="F487" s="28" t="s">
        <v>49</v>
      </c>
      <c r="G487" s="29">
        <v>0.1875</v>
      </c>
      <c r="H487" s="28" t="s">
        <v>51</v>
      </c>
      <c r="I487" s="29">
        <v>0</v>
      </c>
      <c r="J487" s="28" t="s">
        <v>53</v>
      </c>
      <c r="K487" s="29">
        <v>4.1699999999999999E-6</v>
      </c>
      <c r="L487" s="28"/>
      <c r="M487" s="30">
        <v>7.0800000000000004E-3</v>
      </c>
      <c r="N487" s="28"/>
      <c r="O487" s="29">
        <v>5.1905097656249994E-7</v>
      </c>
    </row>
    <row r="488" spans="1:15" x14ac:dyDescent="0.25">
      <c r="A488" s="28">
        <v>2</v>
      </c>
      <c r="B488" s="28" t="s">
        <v>76</v>
      </c>
      <c r="C488" s="28"/>
      <c r="D488" s="28"/>
      <c r="E488" s="29">
        <v>1E-4</v>
      </c>
      <c r="F488" s="28" t="s">
        <v>49</v>
      </c>
      <c r="G488" s="29">
        <v>0.1875</v>
      </c>
      <c r="H488" s="28" t="s">
        <v>51</v>
      </c>
      <c r="I488" s="29">
        <v>0</v>
      </c>
      <c r="J488" s="28" t="s">
        <v>53</v>
      </c>
      <c r="K488" s="29">
        <v>1.8749999999999998E-5</v>
      </c>
      <c r="L488" s="28"/>
      <c r="M488" s="30">
        <v>3.1864000000000003E-2</v>
      </c>
      <c r="N488" s="28"/>
      <c r="O488" s="29">
        <v>2.3338623046875001E-6</v>
      </c>
    </row>
    <row r="489" spans="1:15" x14ac:dyDescent="0.25">
      <c r="A489" s="28">
        <v>2</v>
      </c>
      <c r="B489" s="28" t="s">
        <v>76</v>
      </c>
      <c r="C489" s="28"/>
      <c r="D489" s="28"/>
      <c r="E489" s="29">
        <v>6.6669999999999997E-5</v>
      </c>
      <c r="F489" s="28" t="s">
        <v>49</v>
      </c>
      <c r="G489" s="29">
        <v>0.1875</v>
      </c>
      <c r="H489" s="28" t="s">
        <v>51</v>
      </c>
      <c r="I489" s="29">
        <v>0</v>
      </c>
      <c r="J489" s="28" t="s">
        <v>53</v>
      </c>
      <c r="K489" s="29">
        <v>1.2500000000000001E-5</v>
      </c>
      <c r="L489" s="28"/>
      <c r="M489" s="30">
        <v>2.1243999999999999E-2</v>
      </c>
      <c r="N489" s="28"/>
      <c r="O489" s="29">
        <v>1.555908203125E-6</v>
      </c>
    </row>
    <row r="490" spans="1:15" x14ac:dyDescent="0.25">
      <c r="A490" s="28">
        <v>2</v>
      </c>
      <c r="B490" s="28" t="s">
        <v>76</v>
      </c>
      <c r="C490" s="28"/>
      <c r="D490" s="28"/>
      <c r="E490" s="29">
        <v>2.2220000000000001E-5</v>
      </c>
      <c r="F490" s="28" t="s">
        <v>49</v>
      </c>
      <c r="G490" s="29">
        <v>0.1875</v>
      </c>
      <c r="H490" s="28" t="s">
        <v>51</v>
      </c>
      <c r="I490" s="29">
        <v>0</v>
      </c>
      <c r="J490" s="28" t="s">
        <v>53</v>
      </c>
      <c r="K490" s="29">
        <v>4.1699999999999999E-6</v>
      </c>
      <c r="L490" s="28"/>
      <c r="M490" s="30">
        <v>7.0800000000000004E-3</v>
      </c>
      <c r="N490" s="28"/>
      <c r="O490" s="29">
        <v>5.1905097656249994E-7</v>
      </c>
    </row>
    <row r="491" spans="1:15" x14ac:dyDescent="0.25">
      <c r="A491" s="28">
        <v>2</v>
      </c>
      <c r="B491" s="28" t="s">
        <v>76</v>
      </c>
      <c r="C491" s="28"/>
      <c r="D491" s="28"/>
      <c r="E491" s="29">
        <v>2.2220000000000001E-5</v>
      </c>
      <c r="F491" s="28" t="s">
        <v>49</v>
      </c>
      <c r="G491" s="29">
        <v>0.1875</v>
      </c>
      <c r="H491" s="28" t="s">
        <v>51</v>
      </c>
      <c r="I491" s="29">
        <v>0</v>
      </c>
      <c r="J491" s="28" t="s">
        <v>53</v>
      </c>
      <c r="K491" s="29">
        <v>4.1699999999999999E-6</v>
      </c>
      <c r="L491" s="28"/>
      <c r="M491" s="30">
        <v>7.0800000000000004E-3</v>
      </c>
      <c r="N491" s="28"/>
      <c r="O491" s="29">
        <v>5.1905097656249994E-7</v>
      </c>
    </row>
    <row r="492" spans="1:15" x14ac:dyDescent="0.25">
      <c r="A492" s="28">
        <v>2</v>
      </c>
      <c r="B492" s="28" t="s">
        <v>76</v>
      </c>
      <c r="C492" s="28"/>
      <c r="D492" s="28"/>
      <c r="E492" s="29">
        <v>1E-4</v>
      </c>
      <c r="F492" s="28" t="s">
        <v>49</v>
      </c>
      <c r="G492" s="29">
        <v>0.1875</v>
      </c>
      <c r="H492" s="28" t="s">
        <v>51</v>
      </c>
      <c r="I492" s="29">
        <v>0</v>
      </c>
      <c r="J492" s="28" t="s">
        <v>53</v>
      </c>
      <c r="K492" s="29">
        <v>1.8749999999999998E-5</v>
      </c>
      <c r="L492" s="28"/>
      <c r="M492" s="30">
        <v>3.1864999999999997E-2</v>
      </c>
      <c r="N492" s="28"/>
      <c r="O492" s="29">
        <v>2.3338623046875001E-6</v>
      </c>
    </row>
    <row r="493" spans="1:15" x14ac:dyDescent="0.25">
      <c r="A493" s="28">
        <v>2</v>
      </c>
      <c r="B493" s="28" t="s">
        <v>76</v>
      </c>
      <c r="C493" s="28"/>
      <c r="D493" s="28"/>
      <c r="E493" s="29">
        <v>1E-4</v>
      </c>
      <c r="F493" s="28" t="s">
        <v>49</v>
      </c>
      <c r="G493" s="29">
        <v>0.1875</v>
      </c>
      <c r="H493" s="28" t="s">
        <v>51</v>
      </c>
      <c r="I493" s="29">
        <v>0</v>
      </c>
      <c r="J493" s="28" t="s">
        <v>53</v>
      </c>
      <c r="K493" s="29">
        <v>1.8749999999999998E-5</v>
      </c>
      <c r="L493" s="28"/>
      <c r="M493" s="30">
        <v>3.1864999999999997E-2</v>
      </c>
      <c r="N493" s="28"/>
      <c r="O493" s="29">
        <v>2.3338623046875001E-6</v>
      </c>
    </row>
    <row r="494" spans="1:15" x14ac:dyDescent="0.25">
      <c r="A494" s="18">
        <v>2</v>
      </c>
      <c r="B494" s="18" t="s">
        <v>76</v>
      </c>
      <c r="C494" s="18"/>
      <c r="D494" s="18"/>
      <c r="E494" s="19">
        <v>7.5000000000000002E-6</v>
      </c>
      <c r="F494" s="18" t="s">
        <v>49</v>
      </c>
      <c r="G494" s="19">
        <v>0.1875</v>
      </c>
      <c r="H494" s="18" t="s">
        <v>51</v>
      </c>
      <c r="I494" s="19">
        <v>0</v>
      </c>
      <c r="J494" s="18" t="s">
        <v>53</v>
      </c>
      <c r="K494" s="19">
        <v>1.4100000000000001E-6</v>
      </c>
      <c r="L494" s="18"/>
      <c r="M494" s="20">
        <v>2.3900000000000002E-3</v>
      </c>
      <c r="N494" s="18"/>
      <c r="O494" s="19">
        <v>1.755064453125E-7</v>
      </c>
    </row>
    <row r="495" spans="1:15" x14ac:dyDescent="0.25">
      <c r="A495" s="21" t="s">
        <v>61</v>
      </c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2">
        <v>0.16171199999999999</v>
      </c>
      <c r="N495" s="21"/>
      <c r="O495" s="23">
        <v>1.18460626953125E-5</v>
      </c>
    </row>
    <row r="497" spans="1:15" x14ac:dyDescent="0.25">
      <c r="A497" s="26" t="s">
        <v>57</v>
      </c>
      <c r="B497" s="44" t="s">
        <v>189</v>
      </c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6"/>
    </row>
    <row r="498" spans="1:15" x14ac:dyDescent="0.25">
      <c r="A498" s="27" t="s">
        <v>214</v>
      </c>
      <c r="B498" s="41" t="s">
        <v>68</v>
      </c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3"/>
    </row>
    <row r="500" spans="1:15" x14ac:dyDescent="0.25">
      <c r="A500" s="18">
        <v>2</v>
      </c>
      <c r="B500" s="18" t="s">
        <v>76</v>
      </c>
      <c r="C500" s="18"/>
      <c r="D500" s="18"/>
      <c r="E500" s="19">
        <v>5.0000000000000001E-3</v>
      </c>
      <c r="F500" s="18" t="s">
        <v>49</v>
      </c>
      <c r="G500" s="19">
        <v>0.1875</v>
      </c>
      <c r="H500" s="18" t="s">
        <v>51</v>
      </c>
      <c r="I500" s="19">
        <v>0</v>
      </c>
      <c r="J500" s="18" t="s">
        <v>53</v>
      </c>
      <c r="K500" s="19">
        <v>9.3749999999999997E-4</v>
      </c>
      <c r="L500" s="18"/>
      <c r="M500" s="20">
        <v>1.5932500000000001</v>
      </c>
      <c r="N500" s="18"/>
      <c r="O500" s="19">
        <v>1.16693115234375E-4</v>
      </c>
    </row>
    <row r="501" spans="1:15" x14ac:dyDescent="0.25">
      <c r="A501" s="21" t="s">
        <v>61</v>
      </c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2">
        <v>1.5932500000000001</v>
      </c>
      <c r="N501" s="21"/>
      <c r="O501" s="23">
        <v>1.16693115234375E-4</v>
      </c>
    </row>
    <row r="503" spans="1:15" x14ac:dyDescent="0.25">
      <c r="A503" s="26" t="s">
        <v>57</v>
      </c>
      <c r="B503" s="44" t="s">
        <v>190</v>
      </c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6"/>
    </row>
    <row r="504" spans="1:15" x14ac:dyDescent="0.25">
      <c r="A504" s="27" t="s">
        <v>214</v>
      </c>
      <c r="B504" s="41" t="s">
        <v>191</v>
      </c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3"/>
    </row>
    <row r="506" spans="1:15" x14ac:dyDescent="0.25">
      <c r="A506" s="18">
        <v>29</v>
      </c>
      <c r="B506" s="18" t="s">
        <v>192</v>
      </c>
      <c r="C506" s="18"/>
      <c r="D506" s="18"/>
      <c r="E506" s="19">
        <v>0.5</v>
      </c>
      <c r="F506" s="18" t="s">
        <v>49</v>
      </c>
      <c r="G506" s="19">
        <v>0.1875</v>
      </c>
      <c r="H506" s="18" t="s">
        <v>51</v>
      </c>
      <c r="I506" s="19">
        <v>0</v>
      </c>
      <c r="J506" s="18" t="s">
        <v>53</v>
      </c>
      <c r="K506" s="19">
        <v>9.375E-2</v>
      </c>
      <c r="L506" s="18"/>
      <c r="M506" s="20">
        <v>80</v>
      </c>
      <c r="N506" s="18"/>
      <c r="O506" s="19">
        <v>5.859375E-3</v>
      </c>
    </row>
    <row r="507" spans="1:15" x14ac:dyDescent="0.25">
      <c r="A507" s="21" t="s">
        <v>61</v>
      </c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2">
        <v>80</v>
      </c>
      <c r="N507" s="21"/>
      <c r="O507" s="23">
        <v>5.859375E-3</v>
      </c>
    </row>
    <row r="509" spans="1:15" x14ac:dyDescent="0.25">
      <c r="A509" s="26" t="s">
        <v>57</v>
      </c>
      <c r="B509" s="44" t="s">
        <v>193</v>
      </c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6"/>
    </row>
    <row r="510" spans="1:15" x14ac:dyDescent="0.25">
      <c r="A510" s="27" t="s">
        <v>214</v>
      </c>
      <c r="B510" s="41" t="s">
        <v>194</v>
      </c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3"/>
    </row>
    <row r="512" spans="1:15" x14ac:dyDescent="0.25">
      <c r="A512" s="28">
        <v>1</v>
      </c>
      <c r="B512" s="28" t="s">
        <v>126</v>
      </c>
      <c r="C512" s="28"/>
      <c r="D512" s="28"/>
      <c r="E512" s="29">
        <v>1</v>
      </c>
      <c r="F512" s="28" t="s">
        <v>49</v>
      </c>
      <c r="G512" s="29">
        <v>0.16666666999999999</v>
      </c>
      <c r="H512" s="28" t="s">
        <v>51</v>
      </c>
      <c r="I512" s="29">
        <v>0</v>
      </c>
      <c r="J512" s="28" t="s">
        <v>53</v>
      </c>
      <c r="K512" s="29">
        <v>0.16666666999999999</v>
      </c>
      <c r="L512" s="28"/>
      <c r="M512" s="30">
        <v>1.35</v>
      </c>
      <c r="N512" s="28"/>
      <c r="O512" s="29">
        <v>8.7890626757812507E-5</v>
      </c>
    </row>
    <row r="513" spans="1:15" x14ac:dyDescent="0.25">
      <c r="A513" s="28">
        <v>2</v>
      </c>
      <c r="B513" s="28" t="s">
        <v>9</v>
      </c>
      <c r="C513" s="28"/>
      <c r="D513" s="28"/>
      <c r="E513" s="29">
        <v>7.4999999999999997E-2</v>
      </c>
      <c r="F513" s="28" t="s">
        <v>49</v>
      </c>
      <c r="G513" s="29">
        <v>0.16666666999999999</v>
      </c>
      <c r="H513" s="28" t="s">
        <v>51</v>
      </c>
      <c r="I513" s="29">
        <v>0</v>
      </c>
      <c r="J513" s="28" t="s">
        <v>53</v>
      </c>
      <c r="K513" s="29">
        <v>1.2500000000000001E-2</v>
      </c>
      <c r="L513" s="28"/>
      <c r="M513" s="30">
        <v>23.89875</v>
      </c>
      <c r="N513" s="28"/>
      <c r="O513" s="29">
        <v>1.5559082031250001E-3</v>
      </c>
    </row>
    <row r="514" spans="1:15" x14ac:dyDescent="0.25">
      <c r="A514" s="18">
        <v>2</v>
      </c>
      <c r="B514" s="18" t="s">
        <v>126</v>
      </c>
      <c r="C514" s="18"/>
      <c r="D514" s="18"/>
      <c r="E514" s="19">
        <v>0.3</v>
      </c>
      <c r="F514" s="18" t="s">
        <v>49</v>
      </c>
      <c r="G514" s="19">
        <v>0.16666666999999999</v>
      </c>
      <c r="H514" s="18" t="s">
        <v>51</v>
      </c>
      <c r="I514" s="19">
        <v>0</v>
      </c>
      <c r="J514" s="18" t="s">
        <v>53</v>
      </c>
      <c r="K514" s="19">
        <v>0.05</v>
      </c>
      <c r="L514" s="18"/>
      <c r="M514" s="20">
        <v>95.594999999999999</v>
      </c>
      <c r="N514" s="18"/>
      <c r="O514" s="19">
        <v>6.2236328125000002E-3</v>
      </c>
    </row>
    <row r="515" spans="1:15" x14ac:dyDescent="0.25">
      <c r="A515" s="21" t="s">
        <v>61</v>
      </c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2">
        <v>120.84375</v>
      </c>
      <c r="N515" s="21"/>
      <c r="O515" s="23">
        <v>7.867431642382813E-3</v>
      </c>
    </row>
    <row r="517" spans="1:15" x14ac:dyDescent="0.25">
      <c r="A517" s="26" t="s">
        <v>57</v>
      </c>
      <c r="B517" s="44" t="s">
        <v>195</v>
      </c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6"/>
    </row>
    <row r="518" spans="1:15" x14ac:dyDescent="0.25">
      <c r="A518" s="27" t="s">
        <v>214</v>
      </c>
      <c r="B518" s="41" t="s">
        <v>196</v>
      </c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3"/>
    </row>
    <row r="520" spans="1:15" x14ac:dyDescent="0.25">
      <c r="A520" s="18">
        <v>3</v>
      </c>
      <c r="B520" s="18" t="s">
        <v>21</v>
      </c>
      <c r="C520" s="18" t="s">
        <v>74</v>
      </c>
      <c r="D520" s="18"/>
      <c r="E520" s="19">
        <v>6.25E-2</v>
      </c>
      <c r="F520" s="18" t="s">
        <v>49</v>
      </c>
      <c r="G520" s="19">
        <v>0.16666666999999999</v>
      </c>
      <c r="H520" s="18" t="s">
        <v>51</v>
      </c>
      <c r="I520" s="19">
        <v>0</v>
      </c>
      <c r="J520" s="18" t="s">
        <v>53</v>
      </c>
      <c r="K520" s="19">
        <v>1.0416669999999999E-2</v>
      </c>
      <c r="L520" s="18"/>
      <c r="M520" s="20">
        <v>15</v>
      </c>
      <c r="N520" s="18"/>
      <c r="O520" s="19">
        <v>9.7656281249999984E-4</v>
      </c>
    </row>
    <row r="521" spans="1:15" x14ac:dyDescent="0.25">
      <c r="A521" s="21" t="s">
        <v>61</v>
      </c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2">
        <v>15</v>
      </c>
      <c r="N521" s="21"/>
      <c r="O521" s="23">
        <v>9.7656281249999984E-4</v>
      </c>
    </row>
    <row r="523" spans="1:15" x14ac:dyDescent="0.25">
      <c r="A523" s="26" t="s">
        <v>57</v>
      </c>
      <c r="B523" s="44" t="s">
        <v>197</v>
      </c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6"/>
    </row>
    <row r="524" spans="1:15" x14ac:dyDescent="0.25">
      <c r="A524" s="27" t="s">
        <v>214</v>
      </c>
      <c r="B524" s="41" t="s">
        <v>68</v>
      </c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3"/>
    </row>
    <row r="526" spans="1:15" x14ac:dyDescent="0.25">
      <c r="A526" s="18">
        <v>2</v>
      </c>
      <c r="B526" s="18" t="s">
        <v>125</v>
      </c>
      <c r="C526" s="18" t="s">
        <v>35</v>
      </c>
      <c r="D526" s="18"/>
      <c r="E526" s="19">
        <v>0.05</v>
      </c>
      <c r="F526" s="18" t="s">
        <v>49</v>
      </c>
      <c r="G526" s="19">
        <v>0.15</v>
      </c>
      <c r="H526" s="18" t="s">
        <v>51</v>
      </c>
      <c r="I526" s="19">
        <v>0</v>
      </c>
      <c r="J526" s="18" t="s">
        <v>53</v>
      </c>
      <c r="K526" s="19">
        <v>7.4999999999999997E-3</v>
      </c>
      <c r="L526" s="18"/>
      <c r="M526" s="20">
        <v>15.932499999999999</v>
      </c>
      <c r="N526" s="18"/>
      <c r="O526" s="19">
        <v>9.3354492187499997E-4</v>
      </c>
    </row>
    <row r="527" spans="1:15" x14ac:dyDescent="0.25">
      <c r="A527" s="21" t="s">
        <v>61</v>
      </c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2">
        <v>15.932499999999999</v>
      </c>
      <c r="N527" s="21"/>
      <c r="O527" s="23">
        <v>9.3354492187499997E-4</v>
      </c>
    </row>
    <row r="529" spans="1:15" x14ac:dyDescent="0.25">
      <c r="A529" s="26" t="s">
        <v>57</v>
      </c>
      <c r="B529" s="44" t="s">
        <v>198</v>
      </c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6"/>
    </row>
    <row r="530" spans="1:15" x14ac:dyDescent="0.25">
      <c r="A530" s="27" t="s">
        <v>214</v>
      </c>
      <c r="B530" s="41" t="s">
        <v>139</v>
      </c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3"/>
    </row>
    <row r="532" spans="1:15" x14ac:dyDescent="0.25">
      <c r="A532" s="18">
        <v>4</v>
      </c>
      <c r="B532" s="18" t="s">
        <v>199</v>
      </c>
      <c r="C532" s="18"/>
      <c r="D532" s="18"/>
      <c r="E532" s="19">
        <v>1</v>
      </c>
      <c r="F532" s="18" t="s">
        <v>49</v>
      </c>
      <c r="G532" s="19">
        <v>0.16666666999999999</v>
      </c>
      <c r="H532" s="18" t="s">
        <v>51</v>
      </c>
      <c r="I532" s="19">
        <v>0</v>
      </c>
      <c r="J532" s="18" t="s">
        <v>53</v>
      </c>
      <c r="K532" s="19">
        <v>0.16666666999999999</v>
      </c>
      <c r="L532" s="18"/>
      <c r="M532" s="20">
        <v>80</v>
      </c>
      <c r="N532" s="18"/>
      <c r="O532" s="19">
        <v>5.2083334374999997E-3</v>
      </c>
    </row>
    <row r="533" spans="1:15" x14ac:dyDescent="0.25">
      <c r="A533" s="21" t="s">
        <v>61</v>
      </c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2">
        <v>80</v>
      </c>
      <c r="N533" s="21"/>
      <c r="O533" s="23">
        <v>5.2083334374999997E-3</v>
      </c>
    </row>
    <row r="535" spans="1:15" x14ac:dyDescent="0.25">
      <c r="A535" s="26" t="s">
        <v>57</v>
      </c>
      <c r="B535" s="44" t="s">
        <v>200</v>
      </c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6"/>
    </row>
    <row r="536" spans="1:15" x14ac:dyDescent="0.25">
      <c r="A536" s="27" t="s">
        <v>214</v>
      </c>
      <c r="B536" s="41" t="s">
        <v>196</v>
      </c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3"/>
    </row>
    <row r="538" spans="1:15" x14ac:dyDescent="0.25">
      <c r="A538" s="18">
        <v>3</v>
      </c>
      <c r="B538" s="18" t="s">
        <v>23</v>
      </c>
      <c r="C538" s="18" t="s">
        <v>74</v>
      </c>
      <c r="D538" s="18"/>
      <c r="E538" s="19">
        <v>6.25E-2</v>
      </c>
      <c r="F538" s="18" t="s">
        <v>49</v>
      </c>
      <c r="G538" s="19">
        <v>0.16666666999999999</v>
      </c>
      <c r="H538" s="18" t="s">
        <v>51</v>
      </c>
      <c r="I538" s="19">
        <v>0</v>
      </c>
      <c r="J538" s="18" t="s">
        <v>53</v>
      </c>
      <c r="K538" s="19">
        <v>1.0416669999999999E-2</v>
      </c>
      <c r="L538" s="18"/>
      <c r="M538" s="20">
        <v>15</v>
      </c>
      <c r="N538" s="18"/>
      <c r="O538" s="19">
        <v>9.7656281249999984E-4</v>
      </c>
    </row>
    <row r="539" spans="1:15" x14ac:dyDescent="0.25">
      <c r="A539" s="21" t="s">
        <v>61</v>
      </c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2">
        <v>15</v>
      </c>
      <c r="N539" s="21"/>
      <c r="O539" s="23">
        <v>9.7656281249999984E-4</v>
      </c>
    </row>
    <row r="541" spans="1:15" x14ac:dyDescent="0.25">
      <c r="A541" s="26" t="s">
        <v>57</v>
      </c>
      <c r="B541" s="44" t="s">
        <v>201</v>
      </c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6"/>
    </row>
    <row r="542" spans="1:15" x14ac:dyDescent="0.25">
      <c r="A542" s="27" t="s">
        <v>214</v>
      </c>
      <c r="B542" s="41" t="s">
        <v>86</v>
      </c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3"/>
    </row>
    <row r="544" spans="1:15" x14ac:dyDescent="0.25">
      <c r="A544" s="28">
        <v>3</v>
      </c>
      <c r="B544" s="28" t="s">
        <v>25</v>
      </c>
      <c r="C544" s="28" t="s">
        <v>74</v>
      </c>
      <c r="D544" s="28"/>
      <c r="E544" s="29">
        <v>8.3333340000000006E-2</v>
      </c>
      <c r="F544" s="28" t="s">
        <v>49</v>
      </c>
      <c r="G544" s="29">
        <v>0.16666666999999999</v>
      </c>
      <c r="H544" s="28" t="s">
        <v>51</v>
      </c>
      <c r="I544" s="29">
        <v>0</v>
      </c>
      <c r="J544" s="28" t="s">
        <v>53</v>
      </c>
      <c r="K544" s="29">
        <v>1.3888889999999999E-2</v>
      </c>
      <c r="L544" s="28"/>
      <c r="M544" s="30">
        <v>20.000001999999999</v>
      </c>
      <c r="N544" s="28"/>
      <c r="O544" s="29">
        <v>1.3020834375000001E-3</v>
      </c>
    </row>
    <row r="545" spans="1:15" x14ac:dyDescent="0.25">
      <c r="A545" s="28">
        <v>3</v>
      </c>
      <c r="B545" s="28" t="s">
        <v>88</v>
      </c>
      <c r="C545" s="28" t="s">
        <v>74</v>
      </c>
      <c r="D545" s="28"/>
      <c r="E545" s="29">
        <v>8.3333329999999997E-2</v>
      </c>
      <c r="F545" s="28" t="s">
        <v>49</v>
      </c>
      <c r="G545" s="29">
        <v>0.16666666999999999</v>
      </c>
      <c r="H545" s="28" t="s">
        <v>51</v>
      </c>
      <c r="I545" s="29">
        <v>0</v>
      </c>
      <c r="J545" s="28" t="s">
        <v>53</v>
      </c>
      <c r="K545" s="29">
        <v>1.3888889999999999E-2</v>
      </c>
      <c r="L545" s="28"/>
      <c r="M545" s="30">
        <v>19.999998999999999</v>
      </c>
      <c r="N545" s="28"/>
      <c r="O545" s="29">
        <v>1.3020834375000001E-3</v>
      </c>
    </row>
    <row r="546" spans="1:15" x14ac:dyDescent="0.25">
      <c r="A546" s="18">
        <v>3</v>
      </c>
      <c r="B546" s="18" t="s">
        <v>87</v>
      </c>
      <c r="C546" s="18" t="s">
        <v>74</v>
      </c>
      <c r="D546" s="18"/>
      <c r="E546" s="19">
        <v>8.3333329999999997E-2</v>
      </c>
      <c r="F546" s="18" t="s">
        <v>49</v>
      </c>
      <c r="G546" s="19">
        <v>0.16666666999999999</v>
      </c>
      <c r="H546" s="18" t="s">
        <v>51</v>
      </c>
      <c r="I546" s="19">
        <v>0</v>
      </c>
      <c r="J546" s="18" t="s">
        <v>53</v>
      </c>
      <c r="K546" s="19">
        <v>1.3888889999999999E-2</v>
      </c>
      <c r="L546" s="18"/>
      <c r="M546" s="20">
        <v>19.999998999999999</v>
      </c>
      <c r="N546" s="18"/>
      <c r="O546" s="19">
        <v>1.3020834375000001E-3</v>
      </c>
    </row>
    <row r="547" spans="1:15" x14ac:dyDescent="0.25">
      <c r="A547" s="21" t="s">
        <v>61</v>
      </c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2">
        <v>60</v>
      </c>
      <c r="N547" s="21"/>
      <c r="O547" s="23">
        <v>3.9062503124999998E-3</v>
      </c>
    </row>
    <row r="549" spans="1:15" x14ac:dyDescent="0.25">
      <c r="A549" s="26" t="s">
        <v>57</v>
      </c>
      <c r="B549" s="44" t="s">
        <v>202</v>
      </c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6"/>
    </row>
    <row r="550" spans="1:15" x14ac:dyDescent="0.25">
      <c r="A550" s="27" t="s">
        <v>214</v>
      </c>
      <c r="B550" s="41" t="s">
        <v>203</v>
      </c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3"/>
    </row>
    <row r="552" spans="1:15" x14ac:dyDescent="0.25">
      <c r="A552" s="18">
        <v>2</v>
      </c>
      <c r="B552" s="18" t="s">
        <v>29</v>
      </c>
      <c r="C552" s="18"/>
      <c r="D552" s="18"/>
      <c r="E552" s="19">
        <v>1.6666670000000001E-2</v>
      </c>
      <c r="F552" s="18" t="s">
        <v>49</v>
      </c>
      <c r="G552" s="19">
        <v>0.15</v>
      </c>
      <c r="H552" s="18" t="s">
        <v>51</v>
      </c>
      <c r="I552" s="19">
        <v>0</v>
      </c>
      <c r="J552" s="18" t="s">
        <v>53</v>
      </c>
      <c r="K552" s="19">
        <v>2.5000000000000001E-3</v>
      </c>
      <c r="L552" s="18"/>
      <c r="M552" s="20">
        <v>5.3108339999999998</v>
      </c>
      <c r="N552" s="18"/>
      <c r="O552" s="19">
        <v>3.1118164062499999E-4</v>
      </c>
    </row>
    <row r="553" spans="1:15" x14ac:dyDescent="0.25">
      <c r="A553" s="21" t="s">
        <v>61</v>
      </c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2">
        <v>5.3108339999999998</v>
      </c>
      <c r="N553" s="21"/>
      <c r="O553" s="23">
        <v>3.1118164062499999E-4</v>
      </c>
    </row>
    <row r="555" spans="1:15" x14ac:dyDescent="0.25">
      <c r="A555" s="26" t="s">
        <v>57</v>
      </c>
      <c r="B555" s="44" t="s">
        <v>204</v>
      </c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6"/>
    </row>
    <row r="556" spans="1:15" x14ac:dyDescent="0.25">
      <c r="A556" s="27" t="s">
        <v>214</v>
      </c>
      <c r="B556" s="41" t="s">
        <v>205</v>
      </c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3"/>
    </row>
    <row r="558" spans="1:15" x14ac:dyDescent="0.25">
      <c r="A558" s="18">
        <v>16</v>
      </c>
      <c r="B558" s="18" t="s">
        <v>73</v>
      </c>
      <c r="C558" s="18" t="s">
        <v>74</v>
      </c>
      <c r="D558" s="18"/>
      <c r="E558" s="19">
        <v>4.1666660000000001E-2</v>
      </c>
      <c r="F558" s="18" t="s">
        <v>49</v>
      </c>
      <c r="G558" s="19">
        <v>0.14285713999999999</v>
      </c>
      <c r="H558" s="18" t="s">
        <v>51</v>
      </c>
      <c r="I558" s="19">
        <v>0</v>
      </c>
      <c r="J558" s="18" t="s">
        <v>53</v>
      </c>
      <c r="K558" s="19">
        <v>5.9523900000000001E-3</v>
      </c>
      <c r="L558" s="18"/>
      <c r="M558" s="20">
        <v>5</v>
      </c>
      <c r="N558" s="18"/>
      <c r="O558" s="19">
        <v>2.7901828124999998E-4</v>
      </c>
    </row>
    <row r="559" spans="1:15" x14ac:dyDescent="0.25">
      <c r="A559" s="21" t="s">
        <v>61</v>
      </c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2">
        <v>5</v>
      </c>
      <c r="N559" s="21"/>
      <c r="O559" s="23">
        <v>2.7901828124999998E-4</v>
      </c>
    </row>
    <row r="561" spans="1:15" x14ac:dyDescent="0.25">
      <c r="A561" s="26" t="s">
        <v>57</v>
      </c>
      <c r="B561" s="44" t="s">
        <v>206</v>
      </c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6"/>
    </row>
    <row r="562" spans="1:15" x14ac:dyDescent="0.25">
      <c r="A562" s="27" t="s">
        <v>214</v>
      </c>
      <c r="B562" s="41" t="s">
        <v>68</v>
      </c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3"/>
    </row>
    <row r="564" spans="1:15" x14ac:dyDescent="0.25">
      <c r="A564" s="28">
        <v>3</v>
      </c>
      <c r="B564" s="28" t="s">
        <v>207</v>
      </c>
      <c r="C564" s="28" t="s">
        <v>175</v>
      </c>
      <c r="D564" s="28"/>
      <c r="E564" s="29">
        <v>0.125</v>
      </c>
      <c r="F564" s="28" t="s">
        <v>49</v>
      </c>
      <c r="G564" s="29">
        <v>0.15</v>
      </c>
      <c r="H564" s="28" t="s">
        <v>51</v>
      </c>
      <c r="I564" s="29">
        <v>0</v>
      </c>
      <c r="J564" s="28" t="s">
        <v>53</v>
      </c>
      <c r="K564" s="29">
        <v>1.8749999999999999E-2</v>
      </c>
      <c r="L564" s="28"/>
      <c r="M564" s="30">
        <v>30</v>
      </c>
      <c r="N564" s="28"/>
      <c r="O564" s="29">
        <v>1.7578125E-3</v>
      </c>
    </row>
    <row r="565" spans="1:15" x14ac:dyDescent="0.25">
      <c r="A565" s="18">
        <v>15</v>
      </c>
      <c r="B565" s="18" t="s">
        <v>27</v>
      </c>
      <c r="C565" s="18"/>
      <c r="D565" s="18"/>
      <c r="E565" s="19">
        <v>0.125</v>
      </c>
      <c r="F565" s="18" t="s">
        <v>49</v>
      </c>
      <c r="G565" s="19">
        <v>0.15</v>
      </c>
      <c r="H565" s="18" t="s">
        <v>51</v>
      </c>
      <c r="I565" s="19">
        <v>0</v>
      </c>
      <c r="J565" s="18" t="s">
        <v>53</v>
      </c>
      <c r="K565" s="19">
        <v>1.8749999999999999E-2</v>
      </c>
      <c r="L565" s="18"/>
      <c r="M565" s="20">
        <v>5</v>
      </c>
      <c r="N565" s="18"/>
      <c r="O565" s="19">
        <v>2.9296874999999999E-4</v>
      </c>
    </row>
    <row r="566" spans="1:15" x14ac:dyDescent="0.25">
      <c r="A566" s="21" t="s">
        <v>61</v>
      </c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2">
        <v>35</v>
      </c>
      <c r="N566" s="21"/>
      <c r="O566" s="23">
        <v>2.0507812500000001E-3</v>
      </c>
    </row>
    <row r="568" spans="1:15" x14ac:dyDescent="0.25">
      <c r="A568" s="26" t="s">
        <v>57</v>
      </c>
      <c r="B568" s="44" t="s">
        <v>208</v>
      </c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6"/>
    </row>
    <row r="569" spans="1:15" x14ac:dyDescent="0.25">
      <c r="A569" s="27" t="s">
        <v>214</v>
      </c>
      <c r="B569" s="41" t="s">
        <v>186</v>
      </c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3"/>
    </row>
    <row r="571" spans="1:15" x14ac:dyDescent="0.25">
      <c r="A571" s="28">
        <v>2</v>
      </c>
      <c r="B571" s="28" t="s">
        <v>76</v>
      </c>
      <c r="C571" s="28"/>
      <c r="D571" s="28"/>
      <c r="E571" s="29">
        <v>8.9999999999999998E-4</v>
      </c>
      <c r="F571" s="28" t="s">
        <v>49</v>
      </c>
      <c r="G571" s="29">
        <v>0.1875</v>
      </c>
      <c r="H571" s="28" t="s">
        <v>51</v>
      </c>
      <c r="I571" s="29">
        <v>0</v>
      </c>
      <c r="J571" s="28" t="s">
        <v>53</v>
      </c>
      <c r="K571" s="29">
        <v>1.6875000000000001E-4</v>
      </c>
      <c r="L571" s="28"/>
      <c r="M571" s="30">
        <v>0.28678500000000001</v>
      </c>
      <c r="N571" s="28"/>
      <c r="O571" s="29">
        <v>2.10047607421875E-5</v>
      </c>
    </row>
    <row r="572" spans="1:15" x14ac:dyDescent="0.25">
      <c r="A572" s="28">
        <v>2</v>
      </c>
      <c r="B572" s="28" t="s">
        <v>76</v>
      </c>
      <c r="C572" s="28"/>
      <c r="D572" s="28"/>
      <c r="E572" s="29">
        <v>2.0000000000000001E-4</v>
      </c>
      <c r="F572" s="28" t="s">
        <v>49</v>
      </c>
      <c r="G572" s="29">
        <v>0.1875</v>
      </c>
      <c r="H572" s="28" t="s">
        <v>51</v>
      </c>
      <c r="I572" s="29">
        <v>0</v>
      </c>
      <c r="J572" s="28" t="s">
        <v>53</v>
      </c>
      <c r="K572" s="29">
        <v>3.7499999999999997E-5</v>
      </c>
      <c r="L572" s="28"/>
      <c r="M572" s="30">
        <v>6.3729999999999995E-2</v>
      </c>
      <c r="N572" s="28"/>
      <c r="O572" s="29">
        <v>4.6677246093749993E-6</v>
      </c>
    </row>
    <row r="573" spans="1:15" x14ac:dyDescent="0.25">
      <c r="A573" s="28">
        <v>2</v>
      </c>
      <c r="B573" s="28" t="s">
        <v>76</v>
      </c>
      <c r="C573" s="28"/>
      <c r="D573" s="28"/>
      <c r="E573" s="29">
        <v>8.9999999999999998E-4</v>
      </c>
      <c r="F573" s="28" t="s">
        <v>49</v>
      </c>
      <c r="G573" s="29">
        <v>0.1875</v>
      </c>
      <c r="H573" s="28" t="s">
        <v>51</v>
      </c>
      <c r="I573" s="29">
        <v>0</v>
      </c>
      <c r="J573" s="28" t="s">
        <v>53</v>
      </c>
      <c r="K573" s="29">
        <v>1.6875000000000001E-4</v>
      </c>
      <c r="L573" s="28"/>
      <c r="M573" s="30">
        <v>0.28678500000000001</v>
      </c>
      <c r="N573" s="28"/>
      <c r="O573" s="29">
        <v>2.10047607421875E-5</v>
      </c>
    </row>
    <row r="574" spans="1:15" x14ac:dyDescent="0.25">
      <c r="A574" s="28">
        <v>2</v>
      </c>
      <c r="B574" s="28" t="s">
        <v>76</v>
      </c>
      <c r="C574" s="28"/>
      <c r="D574" s="28"/>
      <c r="E574" s="29">
        <v>2.0000000000000001E-4</v>
      </c>
      <c r="F574" s="28" t="s">
        <v>49</v>
      </c>
      <c r="G574" s="29">
        <v>0.1875</v>
      </c>
      <c r="H574" s="28" t="s">
        <v>51</v>
      </c>
      <c r="I574" s="29">
        <v>0</v>
      </c>
      <c r="J574" s="28" t="s">
        <v>53</v>
      </c>
      <c r="K574" s="29">
        <v>3.7499999999999997E-5</v>
      </c>
      <c r="L574" s="28"/>
      <c r="M574" s="30">
        <v>6.3729999999999995E-2</v>
      </c>
      <c r="N574" s="28"/>
      <c r="O574" s="29">
        <v>4.6677246093749993E-6</v>
      </c>
    </row>
    <row r="575" spans="1:15" x14ac:dyDescent="0.25">
      <c r="A575" s="28">
        <v>2</v>
      </c>
      <c r="B575" s="28" t="s">
        <v>76</v>
      </c>
      <c r="C575" s="28"/>
      <c r="D575" s="28"/>
      <c r="E575" s="29">
        <v>6.7500000000000001E-5</v>
      </c>
      <c r="F575" s="28" t="s">
        <v>49</v>
      </c>
      <c r="G575" s="29">
        <v>0.1875</v>
      </c>
      <c r="H575" s="28" t="s">
        <v>51</v>
      </c>
      <c r="I575" s="29">
        <v>0</v>
      </c>
      <c r="J575" s="28" t="s">
        <v>53</v>
      </c>
      <c r="K575" s="29">
        <v>1.2660000000000001E-5</v>
      </c>
      <c r="L575" s="28"/>
      <c r="M575" s="30">
        <v>2.1509E-2</v>
      </c>
      <c r="N575" s="28"/>
      <c r="O575" s="29">
        <v>1.5758238281250001E-6</v>
      </c>
    </row>
    <row r="576" spans="1:15" x14ac:dyDescent="0.25">
      <c r="A576" s="28">
        <v>2</v>
      </c>
      <c r="B576" s="28" t="s">
        <v>76</v>
      </c>
      <c r="C576" s="28"/>
      <c r="D576" s="28"/>
      <c r="E576" s="29">
        <v>5.9999999999999995E-4</v>
      </c>
      <c r="F576" s="28" t="s">
        <v>49</v>
      </c>
      <c r="G576" s="29">
        <v>0.1875</v>
      </c>
      <c r="H576" s="28" t="s">
        <v>51</v>
      </c>
      <c r="I576" s="29">
        <v>0</v>
      </c>
      <c r="J576" s="28" t="s">
        <v>53</v>
      </c>
      <c r="K576" s="29">
        <v>1.125E-4</v>
      </c>
      <c r="L576" s="28"/>
      <c r="M576" s="30">
        <v>0.19119</v>
      </c>
      <c r="N576" s="28"/>
      <c r="O576" s="29">
        <v>1.4003173828125E-5</v>
      </c>
    </row>
    <row r="577" spans="1:15" x14ac:dyDescent="0.25">
      <c r="A577" s="28">
        <v>2</v>
      </c>
      <c r="B577" s="28" t="s">
        <v>76</v>
      </c>
      <c r="C577" s="28"/>
      <c r="D577" s="28"/>
      <c r="E577" s="29">
        <v>8.9999999999999998E-4</v>
      </c>
      <c r="F577" s="28" t="s">
        <v>49</v>
      </c>
      <c r="G577" s="29">
        <v>0.1875</v>
      </c>
      <c r="H577" s="28" t="s">
        <v>51</v>
      </c>
      <c r="I577" s="29">
        <v>0</v>
      </c>
      <c r="J577" s="28" t="s">
        <v>53</v>
      </c>
      <c r="K577" s="29">
        <v>1.6875000000000001E-4</v>
      </c>
      <c r="L577" s="28"/>
      <c r="M577" s="30">
        <v>0.28678399999999998</v>
      </c>
      <c r="N577" s="28"/>
      <c r="O577" s="29">
        <v>2.10047607421875E-5</v>
      </c>
    </row>
    <row r="578" spans="1:15" x14ac:dyDescent="0.25">
      <c r="A578" s="28">
        <v>2</v>
      </c>
      <c r="B578" s="28" t="s">
        <v>76</v>
      </c>
      <c r="C578" s="28"/>
      <c r="D578" s="28"/>
      <c r="E578" s="29">
        <v>5.9999999999999995E-4</v>
      </c>
      <c r="F578" s="28" t="s">
        <v>49</v>
      </c>
      <c r="G578" s="29">
        <v>0.1875</v>
      </c>
      <c r="H578" s="28" t="s">
        <v>51</v>
      </c>
      <c r="I578" s="29">
        <v>0</v>
      </c>
      <c r="J578" s="28" t="s">
        <v>53</v>
      </c>
      <c r="K578" s="29">
        <v>1.125E-4</v>
      </c>
      <c r="L578" s="28"/>
      <c r="M578" s="30">
        <v>0.19119</v>
      </c>
      <c r="N578" s="28"/>
      <c r="O578" s="29">
        <v>1.4003173828125E-5</v>
      </c>
    </row>
    <row r="579" spans="1:15" x14ac:dyDescent="0.25">
      <c r="A579" s="18">
        <v>2</v>
      </c>
      <c r="B579" s="18" t="s">
        <v>76</v>
      </c>
      <c r="C579" s="18"/>
      <c r="D579" s="18"/>
      <c r="E579" s="19">
        <v>2.0000000000000001E-4</v>
      </c>
      <c r="F579" s="18" t="s">
        <v>49</v>
      </c>
      <c r="G579" s="19">
        <v>0.1875</v>
      </c>
      <c r="H579" s="18" t="s">
        <v>51</v>
      </c>
      <c r="I579" s="19">
        <v>0</v>
      </c>
      <c r="J579" s="18" t="s">
        <v>53</v>
      </c>
      <c r="K579" s="19">
        <v>3.7499999999999997E-5</v>
      </c>
      <c r="L579" s="18"/>
      <c r="M579" s="20">
        <v>6.3729999999999995E-2</v>
      </c>
      <c r="N579" s="18"/>
      <c r="O579" s="19">
        <v>4.6677246093749993E-6</v>
      </c>
    </row>
    <row r="580" spans="1:15" x14ac:dyDescent="0.25">
      <c r="A580" s="21" t="s">
        <v>61</v>
      </c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2">
        <v>1.455433</v>
      </c>
      <c r="N580" s="21"/>
      <c r="O580" s="23">
        <v>1.065996275390625E-4</v>
      </c>
    </row>
    <row r="582" spans="1:15" x14ac:dyDescent="0.25">
      <c r="A582" s="26" t="s">
        <v>57</v>
      </c>
      <c r="B582" s="44" t="s">
        <v>209</v>
      </c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6"/>
    </row>
    <row r="583" spans="1:15" x14ac:dyDescent="0.25">
      <c r="A583" s="27" t="s">
        <v>214</v>
      </c>
      <c r="B583" s="41" t="s">
        <v>210</v>
      </c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3"/>
    </row>
    <row r="585" spans="1:15" x14ac:dyDescent="0.25">
      <c r="A585" s="18">
        <v>2</v>
      </c>
      <c r="B585" s="18" t="s">
        <v>31</v>
      </c>
      <c r="C585" s="18"/>
      <c r="D585" s="18"/>
      <c r="E585" s="19">
        <v>7.4999999999999997E-2</v>
      </c>
      <c r="F585" s="18" t="s">
        <v>49</v>
      </c>
      <c r="G585" s="19">
        <v>0.16666666999999999</v>
      </c>
      <c r="H585" s="18" t="s">
        <v>51</v>
      </c>
      <c r="I585" s="19">
        <v>0</v>
      </c>
      <c r="J585" s="18" t="s">
        <v>53</v>
      </c>
      <c r="K585" s="19">
        <v>1.2500000000000001E-2</v>
      </c>
      <c r="L585" s="18"/>
      <c r="M585" s="20">
        <v>23.89875</v>
      </c>
      <c r="N585" s="18"/>
      <c r="O585" s="19">
        <v>1.5559082031250001E-3</v>
      </c>
    </row>
    <row r="586" spans="1:15" x14ac:dyDescent="0.25">
      <c r="A586" s="21" t="s">
        <v>61</v>
      </c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2">
        <v>23.89875</v>
      </c>
      <c r="N586" s="21"/>
      <c r="O586" s="23">
        <v>1.5559082031250001E-3</v>
      </c>
    </row>
  </sheetData>
  <mergeCells count="158">
    <mergeCell ref="B517:O517"/>
    <mergeCell ref="B206:O206"/>
    <mergeCell ref="B200:O200"/>
    <mergeCell ref="B16:O16"/>
    <mergeCell ref="B138:O138"/>
    <mergeCell ref="B194:O194"/>
    <mergeCell ref="B252:O252"/>
    <mergeCell ref="B365:O365"/>
    <mergeCell ref="B3:O3"/>
    <mergeCell ref="B156:O156"/>
    <mergeCell ref="B301:O301"/>
    <mergeCell ref="B66:O66"/>
    <mergeCell ref="B9:O9"/>
    <mergeCell ref="B4:O4"/>
    <mergeCell ref="B21:O21"/>
    <mergeCell ref="B535:O535"/>
    <mergeCell ref="B352:O352"/>
    <mergeCell ref="B423:O423"/>
    <mergeCell ref="B174:O174"/>
    <mergeCell ref="B279:O279"/>
    <mergeCell ref="B457:O457"/>
    <mergeCell ref="B168:O168"/>
    <mergeCell ref="B410:O410"/>
    <mergeCell ref="B424:O424"/>
    <mergeCell ref="B280:O280"/>
    <mergeCell ref="B218:O218"/>
    <mergeCell ref="B411:O411"/>
    <mergeCell ref="B321:O321"/>
    <mergeCell ref="B295:O295"/>
    <mergeCell ref="B273:O273"/>
    <mergeCell ref="B450:O450"/>
    <mergeCell ref="B219:O219"/>
    <mergeCell ref="B429:O429"/>
    <mergeCell ref="B382:O382"/>
    <mergeCell ref="B180:O180"/>
    <mergeCell ref="B509:O509"/>
    <mergeCell ref="B518:O518"/>
    <mergeCell ref="B253:O253"/>
    <mergeCell ref="B358:O358"/>
    <mergeCell ref="B15:O15"/>
    <mergeCell ref="B213:O213"/>
    <mergeCell ref="B497:O497"/>
    <mergeCell ref="B418:O418"/>
    <mergeCell ref="B549:O549"/>
    <mergeCell ref="B458:O458"/>
    <mergeCell ref="B169:O169"/>
    <mergeCell ref="B79:O79"/>
    <mergeCell ref="B144:O144"/>
    <mergeCell ref="B315:O315"/>
    <mergeCell ref="B302:O302"/>
    <mergeCell ref="B54:O54"/>
    <mergeCell ref="B72:O72"/>
    <mergeCell ref="B199:O199"/>
    <mergeCell ref="B370:O370"/>
    <mergeCell ref="B483:O483"/>
    <mergeCell ref="B121:O121"/>
    <mergeCell ref="B332:O332"/>
    <mergeCell ref="B347:O347"/>
    <mergeCell ref="B503:O503"/>
    <mergeCell ref="B529:O529"/>
    <mergeCell ref="B523:O523"/>
    <mergeCell ref="B157:O157"/>
    <mergeCell ref="B132:O132"/>
    <mergeCell ref="B583:O583"/>
    <mergeCell ref="B120:O120"/>
    <mergeCell ref="B484:O484"/>
    <mergeCell ref="B396:O396"/>
    <mergeCell ref="B437:O437"/>
    <mergeCell ref="B162:O162"/>
    <mergeCell ref="B333:O333"/>
    <mergeCell ref="B569:O569"/>
    <mergeCell ref="B10:O10"/>
    <mergeCell ref="B234:O234"/>
    <mergeCell ref="B34:O34"/>
    <mergeCell ref="B28:O28"/>
    <mergeCell ref="B510:O510"/>
    <mergeCell ref="B99:O99"/>
    <mergeCell ref="B397:O397"/>
    <mergeCell ref="B568:O568"/>
    <mergeCell ref="B187:O187"/>
    <mergeCell ref="B359:O359"/>
    <mergeCell ref="B207:O207"/>
    <mergeCell ref="B383:O383"/>
    <mergeCell ref="B94:O94"/>
    <mergeCell ref="B296:O296"/>
    <mergeCell ref="B188:O188"/>
    <mergeCell ref="B541:O541"/>
    <mergeCell ref="B582:O582"/>
    <mergeCell ref="B145:O145"/>
    <mergeCell ref="B470:O470"/>
    <mergeCell ref="B181:O181"/>
    <mergeCell ref="B274:O274"/>
    <mergeCell ref="B550:O550"/>
    <mergeCell ref="B73:O73"/>
    <mergeCell ref="B175:O175"/>
    <mergeCell ref="B87:O87"/>
    <mergeCell ref="B258:O258"/>
    <mergeCell ref="B371:O371"/>
    <mergeCell ref="B436:O436"/>
    <mergeCell ref="B451:O451"/>
    <mergeCell ref="B308:O308"/>
    <mergeCell ref="B364:O364"/>
    <mergeCell ref="B536:O536"/>
    <mergeCell ref="B139:O139"/>
    <mergeCell ref="B463:O463"/>
    <mergeCell ref="B556:O556"/>
    <mergeCell ref="B114:O114"/>
    <mergeCell ref="B212:O212"/>
    <mergeCell ref="B163:O163"/>
    <mergeCell ref="B555:O555"/>
    <mergeCell ref="B241:O241"/>
    <mergeCell ref="B22:O22"/>
    <mergeCell ref="B115:O115"/>
    <mergeCell ref="B93:O93"/>
    <mergeCell ref="B193:O193"/>
    <mergeCell ref="B320:O320"/>
    <mergeCell ref="B326:O326"/>
    <mergeCell ref="B504:O504"/>
    <mergeCell ref="B247:O247"/>
    <mergeCell ref="B40:O40"/>
    <mergeCell ref="B55:O55"/>
    <mergeCell ref="B33:O33"/>
    <mergeCell ref="B403:O403"/>
    <mergeCell ref="B133:O133"/>
    <mergeCell ref="B430:O430"/>
    <mergeCell ref="B464:O464"/>
    <mergeCell ref="B150:O150"/>
    <mergeCell ref="B27:O27"/>
    <mergeCell ref="B60:O60"/>
    <mergeCell ref="B240:O240"/>
    <mergeCell ref="B126:O126"/>
    <mergeCell ref="B39:O39"/>
    <mergeCell ref="B346:O346"/>
    <mergeCell ref="B259:O259"/>
    <mergeCell ref="B562:O562"/>
    <mergeCell ref="B86:O86"/>
    <mergeCell ref="B151:O151"/>
    <mergeCell ref="B235:O235"/>
    <mergeCell ref="B353:O353"/>
    <mergeCell ref="B524:O524"/>
    <mergeCell ref="B67:O67"/>
    <mergeCell ref="B402:O402"/>
    <mergeCell ref="B61:O61"/>
    <mergeCell ref="B377:O377"/>
    <mergeCell ref="B417:O417"/>
    <mergeCell ref="B78:O78"/>
    <mergeCell ref="B376:O376"/>
    <mergeCell ref="B314:O314"/>
    <mergeCell ref="B246:O246"/>
    <mergeCell ref="B127:O127"/>
    <mergeCell ref="B469:O469"/>
    <mergeCell ref="B498:O498"/>
    <mergeCell ref="B561:O561"/>
    <mergeCell ref="B309:O309"/>
    <mergeCell ref="B100:O100"/>
    <mergeCell ref="B327:O327"/>
    <mergeCell ref="B530:O530"/>
    <mergeCell ref="B542:O542"/>
  </mergeCells>
  <pageMargins left="0.25" right="0.25" top="0.75" bottom="0.75" header="0.3" footer="0.3"/>
  <pageSetup fitToHeight="0" orientation="landscape"/>
  <headerFooter scaleWithDoc="0">
    <oddHeader>&amp;C&amp;"Times New Roman,Bold"&amp;11 Schedule 2.1: Landowner Royalty Interests (Unit-Based)</oddHeader>
    <oddFooter>&amp;C&amp;"Times New Roman"&amp;10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9"/>
  <sheetViews>
    <sheetView workbookViewId="0"/>
  </sheetViews>
  <sheetFormatPr defaultRowHeight="15" x14ac:dyDescent="0.25"/>
  <cols>
    <col min="1" max="1" width="13" customWidth="1"/>
    <col min="2" max="2" width="12" customWidth="1"/>
    <col min="3" max="3" width="10" customWidth="1"/>
    <col min="4" max="4" width="3" customWidth="1"/>
    <col min="5" max="5" width="12" customWidth="1"/>
    <col min="6" max="6" width="3" customWidth="1"/>
    <col min="7" max="7" width="15" customWidth="1"/>
    <col min="8" max="8" width="3" customWidth="1"/>
    <col min="9" max="9" width="14" customWidth="1"/>
    <col min="10" max="10" width="3" customWidth="1"/>
    <col min="11" max="11" width="12" customWidth="1"/>
    <col min="12" max="12" width="3" customWidth="1"/>
    <col min="13" max="13" width="13" customWidth="1"/>
  </cols>
  <sheetData>
    <row r="1" spans="1:13" ht="26.25" x14ac:dyDescent="0.25">
      <c r="A1" s="25" t="s">
        <v>45</v>
      </c>
      <c r="B1" s="25" t="s">
        <v>46</v>
      </c>
      <c r="C1" s="25" t="s">
        <v>47</v>
      </c>
      <c r="D1" s="25"/>
      <c r="E1" s="25" t="s">
        <v>52</v>
      </c>
      <c r="F1" s="25" t="s">
        <v>49</v>
      </c>
      <c r="G1" s="25" t="s">
        <v>211</v>
      </c>
      <c r="H1" s="25" t="s">
        <v>49</v>
      </c>
      <c r="I1" s="25" t="s">
        <v>212</v>
      </c>
      <c r="J1" s="25" t="s">
        <v>53</v>
      </c>
      <c r="K1" s="25" t="s">
        <v>54</v>
      </c>
      <c r="L1" s="25"/>
      <c r="M1" s="25" t="s">
        <v>56</v>
      </c>
    </row>
    <row r="3" spans="1:13" x14ac:dyDescent="0.25">
      <c r="A3" s="26" t="s">
        <v>57</v>
      </c>
      <c r="B3" s="44" t="s">
        <v>213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1:13" x14ac:dyDescent="0.25">
      <c r="A4" s="27" t="s">
        <v>214</v>
      </c>
      <c r="B4" s="41" t="s">
        <v>215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6" spans="1:13" x14ac:dyDescent="0.25">
      <c r="A6" s="18">
        <v>19</v>
      </c>
      <c r="B6" s="18" t="s">
        <v>216</v>
      </c>
      <c r="C6" s="18"/>
      <c r="D6" s="18"/>
      <c r="E6" s="19">
        <v>0.01</v>
      </c>
      <c r="F6" s="18" t="s">
        <v>49</v>
      </c>
      <c r="G6" s="19">
        <v>1</v>
      </c>
      <c r="H6" s="18" t="s">
        <v>49</v>
      </c>
      <c r="I6" s="19">
        <v>0.33333332999999998</v>
      </c>
      <c r="J6" s="18" t="s">
        <v>53</v>
      </c>
      <c r="K6" s="19">
        <v>3.3333299999999998E-3</v>
      </c>
      <c r="L6" s="18"/>
      <c r="M6" s="19">
        <v>2.0833312499999999E-4</v>
      </c>
    </row>
    <row r="7" spans="1:13" x14ac:dyDescent="0.25">
      <c r="A7" s="21" t="s">
        <v>61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3">
        <v>2.0833312499999999E-4</v>
      </c>
    </row>
    <row r="9" spans="1:13" x14ac:dyDescent="0.25">
      <c r="A9" s="26" t="s">
        <v>57</v>
      </c>
      <c r="B9" s="44" t="s">
        <v>217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6"/>
    </row>
    <row r="10" spans="1:13" x14ac:dyDescent="0.25">
      <c r="A10" s="27" t="s">
        <v>214</v>
      </c>
      <c r="B10" s="41" t="s">
        <v>218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2" spans="1:13" x14ac:dyDescent="0.25">
      <c r="A12" s="18">
        <v>19</v>
      </c>
      <c r="B12" s="18" t="s">
        <v>216</v>
      </c>
      <c r="C12" s="18"/>
      <c r="D12" s="18"/>
      <c r="E12" s="19">
        <v>0.01</v>
      </c>
      <c r="F12" s="18" t="s">
        <v>49</v>
      </c>
      <c r="G12" s="19">
        <v>1</v>
      </c>
      <c r="H12" s="18" t="s">
        <v>49</v>
      </c>
      <c r="I12" s="19">
        <v>0.33333332999999998</v>
      </c>
      <c r="J12" s="18" t="s">
        <v>53</v>
      </c>
      <c r="K12" s="19">
        <v>3.3333299999999998E-3</v>
      </c>
      <c r="L12" s="18"/>
      <c r="M12" s="19">
        <v>2.0833312499999999E-4</v>
      </c>
    </row>
    <row r="13" spans="1:13" x14ac:dyDescent="0.25">
      <c r="A13" s="21" t="s">
        <v>61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3">
        <v>2.0833312499999999E-4</v>
      </c>
    </row>
    <row r="15" spans="1:13" x14ac:dyDescent="0.25">
      <c r="A15" s="26" t="s">
        <v>57</v>
      </c>
      <c r="B15" s="44" t="s">
        <v>219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6"/>
    </row>
    <row r="16" spans="1:13" x14ac:dyDescent="0.25">
      <c r="A16" s="27" t="s">
        <v>214</v>
      </c>
      <c r="B16" s="41" t="s">
        <v>220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</row>
    <row r="18" spans="1:13" x14ac:dyDescent="0.25">
      <c r="A18" s="18">
        <v>19</v>
      </c>
      <c r="B18" s="18" t="s">
        <v>216</v>
      </c>
      <c r="C18" s="18"/>
      <c r="D18" s="18"/>
      <c r="E18" s="19">
        <v>0.01</v>
      </c>
      <c r="F18" s="18" t="s">
        <v>49</v>
      </c>
      <c r="G18" s="19">
        <v>1</v>
      </c>
      <c r="H18" s="18" t="s">
        <v>49</v>
      </c>
      <c r="I18" s="19">
        <v>0.33333332999999998</v>
      </c>
      <c r="J18" s="18" t="s">
        <v>53</v>
      </c>
      <c r="K18" s="19">
        <v>3.3333299999999998E-3</v>
      </c>
      <c r="L18" s="18"/>
      <c r="M18" s="19">
        <v>2.0833312499999999E-4</v>
      </c>
    </row>
    <row r="19" spans="1:13" x14ac:dyDescent="0.25">
      <c r="A19" s="21" t="s">
        <v>61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3">
        <v>2.0833312499999999E-4</v>
      </c>
    </row>
  </sheetData>
  <mergeCells count="6">
    <mergeCell ref="B16:M16"/>
    <mergeCell ref="B15:M15"/>
    <mergeCell ref="B10:M10"/>
    <mergeCell ref="B3:M3"/>
    <mergeCell ref="B9:M9"/>
    <mergeCell ref="B4:M4"/>
  </mergeCells>
  <pageMargins left="0.25" right="0.25" top="0.75" bottom="0.75" header="0.3" footer="0.3"/>
  <pageSetup fitToHeight="0" orientation="landscape"/>
  <headerFooter scaleWithDoc="0">
    <oddHeader>&amp;C&amp;"Times New Roman,Bold"&amp;11 Schedule 2.2: Non-Participating Royalty Interest (Unit-Based)</oddHeader>
    <oddFooter>&amp;C&amp;"Times New Roman"&amp;10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53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0" customWidth="1"/>
    <col min="4" max="4" width="3" customWidth="1"/>
    <col min="5" max="5" width="12" customWidth="1"/>
    <col min="6" max="6" width="3" customWidth="1"/>
    <col min="7" max="7" width="11" customWidth="1"/>
    <col min="8" max="8" width="3" customWidth="1"/>
    <col min="9" max="9" width="12" customWidth="1"/>
    <col min="10" max="10" width="3" customWidth="1"/>
    <col min="11" max="11" width="11" customWidth="1"/>
    <col min="12" max="12" width="3" customWidth="1"/>
    <col min="13" max="13" width="11" customWidth="1"/>
    <col min="14" max="14" width="3" customWidth="1"/>
    <col min="15" max="15" width="13" customWidth="1"/>
  </cols>
  <sheetData>
    <row r="1" spans="1:15" ht="26.25" x14ac:dyDescent="0.25">
      <c r="A1" s="25" t="s">
        <v>45</v>
      </c>
      <c r="B1" s="25" t="s">
        <v>46</v>
      </c>
      <c r="C1" s="25" t="s">
        <v>47</v>
      </c>
      <c r="D1" s="25"/>
      <c r="E1" s="25" t="s">
        <v>221</v>
      </c>
      <c r="F1" s="25" t="s">
        <v>49</v>
      </c>
      <c r="G1" s="25" t="s">
        <v>222</v>
      </c>
      <c r="H1" s="25" t="s">
        <v>49</v>
      </c>
      <c r="I1" s="25" t="s">
        <v>211</v>
      </c>
      <c r="J1" s="25" t="s">
        <v>53</v>
      </c>
      <c r="K1" s="25" t="s">
        <v>54</v>
      </c>
      <c r="L1" s="25"/>
      <c r="M1" s="25" t="s">
        <v>223</v>
      </c>
      <c r="N1" s="25"/>
      <c r="O1" s="25" t="s">
        <v>56</v>
      </c>
    </row>
    <row r="3" spans="1:15" x14ac:dyDescent="0.25">
      <c r="A3" s="26" t="s">
        <v>57</v>
      </c>
      <c r="B3" s="44" t="s">
        <v>224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1:15" x14ac:dyDescent="0.25">
      <c r="A4" s="27" t="s">
        <v>214</v>
      </c>
      <c r="B4" s="41" t="s">
        <v>225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</row>
    <row r="6" spans="1:15" x14ac:dyDescent="0.25">
      <c r="A6" s="28">
        <v>1</v>
      </c>
      <c r="B6" s="28" t="s">
        <v>126</v>
      </c>
      <c r="C6" s="28"/>
      <c r="D6" s="28"/>
      <c r="E6" s="29">
        <v>3.3333330000000001E-2</v>
      </c>
      <c r="F6" s="28" t="s">
        <v>49</v>
      </c>
      <c r="G6" s="29">
        <v>6.25E-2</v>
      </c>
      <c r="H6" s="28" t="s">
        <v>49</v>
      </c>
      <c r="I6" s="29">
        <v>1</v>
      </c>
      <c r="J6" s="28" t="s">
        <v>53</v>
      </c>
      <c r="K6" s="29">
        <v>2.08333E-3</v>
      </c>
      <c r="L6" s="28"/>
      <c r="M6" s="30">
        <v>1.35</v>
      </c>
      <c r="N6" s="28"/>
      <c r="O6" s="29">
        <v>1.0986310546875E-6</v>
      </c>
    </row>
    <row r="7" spans="1:15" x14ac:dyDescent="0.25">
      <c r="A7" s="28">
        <v>2</v>
      </c>
      <c r="B7" s="28" t="s">
        <v>29</v>
      </c>
      <c r="C7" s="28"/>
      <c r="D7" s="28"/>
      <c r="E7" s="29">
        <v>0.05</v>
      </c>
      <c r="F7" s="28" t="s">
        <v>49</v>
      </c>
      <c r="G7" s="29">
        <v>6.25E-2</v>
      </c>
      <c r="H7" s="28" t="s">
        <v>49</v>
      </c>
      <c r="I7" s="29">
        <v>0.1</v>
      </c>
      <c r="J7" s="28" t="s">
        <v>53</v>
      </c>
      <c r="K7" s="29">
        <v>3.1250000000000001E-4</v>
      </c>
      <c r="L7" s="28"/>
      <c r="M7" s="30">
        <v>31.864999999999998</v>
      </c>
      <c r="N7" s="28"/>
      <c r="O7" s="29">
        <v>3.8897705078124999E-5</v>
      </c>
    </row>
    <row r="8" spans="1:15" x14ac:dyDescent="0.25">
      <c r="A8" s="28">
        <v>2</v>
      </c>
      <c r="B8" s="28" t="s">
        <v>226</v>
      </c>
      <c r="C8" s="28"/>
      <c r="D8" s="28"/>
      <c r="E8" s="29">
        <v>3.3333330000000001E-2</v>
      </c>
      <c r="F8" s="28" t="s">
        <v>49</v>
      </c>
      <c r="G8" s="29">
        <v>6.25E-2</v>
      </c>
      <c r="H8" s="28" t="s">
        <v>49</v>
      </c>
      <c r="I8" s="29">
        <v>0.52500000000000002</v>
      </c>
      <c r="J8" s="28" t="s">
        <v>53</v>
      </c>
      <c r="K8" s="29">
        <v>1.0937399999999999E-3</v>
      </c>
      <c r="L8" s="28"/>
      <c r="M8" s="30">
        <v>167.29124999999999</v>
      </c>
      <c r="N8" s="28"/>
      <c r="O8" s="29">
        <v>1.3614072304687501E-4</v>
      </c>
    </row>
    <row r="9" spans="1:15" x14ac:dyDescent="0.25">
      <c r="A9" s="28">
        <v>3</v>
      </c>
      <c r="B9" s="28" t="s">
        <v>19</v>
      </c>
      <c r="C9" s="28"/>
      <c r="D9" s="28"/>
      <c r="E9" s="29">
        <v>3.3333330000000001E-2</v>
      </c>
      <c r="F9" s="28" t="s">
        <v>49</v>
      </c>
      <c r="G9" s="29">
        <v>6.25E-2</v>
      </c>
      <c r="H9" s="28" t="s">
        <v>49</v>
      </c>
      <c r="I9" s="29">
        <v>0.125</v>
      </c>
      <c r="J9" s="28" t="s">
        <v>53</v>
      </c>
      <c r="K9" s="29">
        <v>2.6041999999999998E-4</v>
      </c>
      <c r="L9" s="28"/>
      <c r="M9" s="30">
        <v>30</v>
      </c>
      <c r="N9" s="28"/>
      <c r="O9" s="29">
        <v>2.4414374999999999E-5</v>
      </c>
    </row>
    <row r="10" spans="1:15" x14ac:dyDescent="0.25">
      <c r="A10" s="28">
        <v>3</v>
      </c>
      <c r="B10" s="28" t="s">
        <v>21</v>
      </c>
      <c r="C10" s="28"/>
      <c r="D10" s="28"/>
      <c r="E10" s="29">
        <v>3.3333330000000001E-2</v>
      </c>
      <c r="F10" s="28" t="s">
        <v>49</v>
      </c>
      <c r="G10" s="29">
        <v>6.25E-2</v>
      </c>
      <c r="H10" s="28" t="s">
        <v>49</v>
      </c>
      <c r="I10" s="29">
        <v>6.25E-2</v>
      </c>
      <c r="J10" s="28" t="s">
        <v>53</v>
      </c>
      <c r="K10" s="29">
        <v>1.3020999999999999E-4</v>
      </c>
      <c r="L10" s="28"/>
      <c r="M10" s="30">
        <v>15</v>
      </c>
      <c r="N10" s="28"/>
      <c r="O10" s="29">
        <v>1.22071875E-5</v>
      </c>
    </row>
    <row r="11" spans="1:15" x14ac:dyDescent="0.25">
      <c r="A11" s="28">
        <v>3</v>
      </c>
      <c r="B11" s="28" t="s">
        <v>23</v>
      </c>
      <c r="C11" s="28"/>
      <c r="D11" s="28"/>
      <c r="E11" s="29">
        <v>3.3333330000000001E-2</v>
      </c>
      <c r="F11" s="28" t="s">
        <v>49</v>
      </c>
      <c r="G11" s="29">
        <v>6.25E-2</v>
      </c>
      <c r="H11" s="28" t="s">
        <v>49</v>
      </c>
      <c r="I11" s="29">
        <v>6.25E-2</v>
      </c>
      <c r="J11" s="28" t="s">
        <v>53</v>
      </c>
      <c r="K11" s="29">
        <v>1.3020999999999999E-4</v>
      </c>
      <c r="L11" s="28"/>
      <c r="M11" s="30">
        <v>15</v>
      </c>
      <c r="N11" s="28"/>
      <c r="O11" s="29">
        <v>1.22071875E-5</v>
      </c>
    </row>
    <row r="12" spans="1:15" x14ac:dyDescent="0.25">
      <c r="A12" s="28">
        <v>3</v>
      </c>
      <c r="B12" s="28" t="s">
        <v>25</v>
      </c>
      <c r="C12" s="28"/>
      <c r="D12" s="28"/>
      <c r="E12" s="29">
        <v>3.3333330000000001E-2</v>
      </c>
      <c r="F12" s="28" t="s">
        <v>49</v>
      </c>
      <c r="G12" s="29">
        <v>6.25E-2</v>
      </c>
      <c r="H12" s="28" t="s">
        <v>49</v>
      </c>
      <c r="I12" s="29">
        <v>0.16666666999999999</v>
      </c>
      <c r="J12" s="28" t="s">
        <v>53</v>
      </c>
      <c r="K12" s="29">
        <v>3.4722000000000003E-4</v>
      </c>
      <c r="L12" s="28"/>
      <c r="M12" s="30">
        <v>40.000000999999997</v>
      </c>
      <c r="N12" s="28"/>
      <c r="O12" s="29">
        <v>3.2551875000000001E-5</v>
      </c>
    </row>
    <row r="13" spans="1:15" x14ac:dyDescent="0.25">
      <c r="A13" s="28">
        <v>3</v>
      </c>
      <c r="B13" s="28" t="s">
        <v>88</v>
      </c>
      <c r="C13" s="28"/>
      <c r="D13" s="28"/>
      <c r="E13" s="29">
        <v>3.3333330000000001E-2</v>
      </c>
      <c r="F13" s="28" t="s">
        <v>49</v>
      </c>
      <c r="G13" s="29">
        <v>6.25E-2</v>
      </c>
      <c r="H13" s="28" t="s">
        <v>49</v>
      </c>
      <c r="I13" s="29">
        <v>0.16666666999999999</v>
      </c>
      <c r="J13" s="28" t="s">
        <v>53</v>
      </c>
      <c r="K13" s="29">
        <v>3.4722000000000003E-4</v>
      </c>
      <c r="L13" s="28"/>
      <c r="M13" s="30">
        <v>40.000000999999997</v>
      </c>
      <c r="N13" s="28"/>
      <c r="O13" s="29">
        <v>3.2551875000000001E-5</v>
      </c>
    </row>
    <row r="14" spans="1:15" x14ac:dyDescent="0.25">
      <c r="A14" s="28">
        <v>3</v>
      </c>
      <c r="B14" s="28" t="s">
        <v>174</v>
      </c>
      <c r="C14" s="28" t="s">
        <v>35</v>
      </c>
      <c r="D14" s="28"/>
      <c r="E14" s="29">
        <v>0.05</v>
      </c>
      <c r="F14" s="28" t="s">
        <v>49</v>
      </c>
      <c r="G14" s="29">
        <v>6.25E-2</v>
      </c>
      <c r="H14" s="28" t="s">
        <v>49</v>
      </c>
      <c r="I14" s="29">
        <v>0.125</v>
      </c>
      <c r="J14" s="28" t="s">
        <v>53</v>
      </c>
      <c r="K14" s="29">
        <v>3.9062999999999999E-4</v>
      </c>
      <c r="L14" s="28"/>
      <c r="M14" s="30">
        <v>30</v>
      </c>
      <c r="N14" s="28"/>
      <c r="O14" s="29">
        <v>3.6621562500000003E-5</v>
      </c>
    </row>
    <row r="15" spans="1:15" x14ac:dyDescent="0.25">
      <c r="A15" s="28">
        <v>3</v>
      </c>
      <c r="B15" s="28" t="s">
        <v>207</v>
      </c>
      <c r="C15" s="28" t="s">
        <v>35</v>
      </c>
      <c r="D15" s="28"/>
      <c r="E15" s="29">
        <v>0.05</v>
      </c>
      <c r="F15" s="28" t="s">
        <v>49</v>
      </c>
      <c r="G15" s="29">
        <v>6.25E-2</v>
      </c>
      <c r="H15" s="28" t="s">
        <v>49</v>
      </c>
      <c r="I15" s="29">
        <v>0.125</v>
      </c>
      <c r="J15" s="28" t="s">
        <v>53</v>
      </c>
      <c r="K15" s="29">
        <v>3.9062999999999999E-4</v>
      </c>
      <c r="L15" s="28"/>
      <c r="M15" s="30">
        <v>30</v>
      </c>
      <c r="N15" s="28"/>
      <c r="O15" s="29">
        <v>3.6621562500000003E-5</v>
      </c>
    </row>
    <row r="16" spans="1:15" x14ac:dyDescent="0.25">
      <c r="A16" s="28">
        <v>3</v>
      </c>
      <c r="B16" s="28" t="s">
        <v>87</v>
      </c>
      <c r="C16" s="28"/>
      <c r="D16" s="28"/>
      <c r="E16" s="29">
        <v>3.3333330000000001E-2</v>
      </c>
      <c r="F16" s="28" t="s">
        <v>49</v>
      </c>
      <c r="G16" s="29">
        <v>6.25E-2</v>
      </c>
      <c r="H16" s="28" t="s">
        <v>49</v>
      </c>
      <c r="I16" s="29">
        <v>0.16666666999999999</v>
      </c>
      <c r="J16" s="28" t="s">
        <v>53</v>
      </c>
      <c r="K16" s="29">
        <v>3.4722000000000003E-4</v>
      </c>
      <c r="L16" s="28"/>
      <c r="M16" s="30">
        <v>40.000000999999997</v>
      </c>
      <c r="N16" s="28"/>
      <c r="O16" s="29">
        <v>3.2551875000000001E-5</v>
      </c>
    </row>
    <row r="17" spans="1:15" x14ac:dyDescent="0.25">
      <c r="A17" s="28">
        <v>4</v>
      </c>
      <c r="B17" s="28" t="s">
        <v>199</v>
      </c>
      <c r="C17" s="28"/>
      <c r="D17" s="28"/>
      <c r="E17" s="29">
        <v>3.3333330000000001E-2</v>
      </c>
      <c r="F17" s="28" t="s">
        <v>49</v>
      </c>
      <c r="G17" s="29">
        <v>6.25E-2</v>
      </c>
      <c r="H17" s="28" t="s">
        <v>49</v>
      </c>
      <c r="I17" s="29">
        <v>1</v>
      </c>
      <c r="J17" s="28" t="s">
        <v>53</v>
      </c>
      <c r="K17" s="29">
        <v>2.08333E-3</v>
      </c>
      <c r="L17" s="28"/>
      <c r="M17" s="30">
        <v>80</v>
      </c>
      <c r="N17" s="28"/>
      <c r="O17" s="29">
        <v>6.51040625E-5</v>
      </c>
    </row>
    <row r="18" spans="1:15" x14ac:dyDescent="0.25">
      <c r="A18" s="28">
        <v>14</v>
      </c>
      <c r="B18" s="28" t="s">
        <v>140</v>
      </c>
      <c r="C18" s="28"/>
      <c r="D18" s="28"/>
      <c r="E18" s="29">
        <v>0.05</v>
      </c>
      <c r="F18" s="28" t="s">
        <v>49</v>
      </c>
      <c r="G18" s="29">
        <v>6.25E-2</v>
      </c>
      <c r="H18" s="28" t="s">
        <v>49</v>
      </c>
      <c r="I18" s="29">
        <v>1</v>
      </c>
      <c r="J18" s="28" t="s">
        <v>53</v>
      </c>
      <c r="K18" s="29">
        <v>3.1250000000000002E-3</v>
      </c>
      <c r="L18" s="28"/>
      <c r="M18" s="30">
        <v>240</v>
      </c>
      <c r="N18" s="28"/>
      <c r="O18" s="29">
        <v>2.9296874999999999E-4</v>
      </c>
    </row>
    <row r="19" spans="1:15" x14ac:dyDescent="0.25">
      <c r="A19" s="28">
        <v>15</v>
      </c>
      <c r="B19" s="28" t="s">
        <v>227</v>
      </c>
      <c r="C19" s="28"/>
      <c r="D19" s="28"/>
      <c r="E19" s="29">
        <v>0.05</v>
      </c>
      <c r="F19" s="28" t="s">
        <v>49</v>
      </c>
      <c r="G19" s="29">
        <v>6.25E-2</v>
      </c>
      <c r="H19" s="28" t="s">
        <v>49</v>
      </c>
      <c r="I19" s="29">
        <v>1</v>
      </c>
      <c r="J19" s="28" t="s">
        <v>53</v>
      </c>
      <c r="K19" s="29">
        <v>3.1250000000000002E-3</v>
      </c>
      <c r="L19" s="28"/>
      <c r="M19" s="30">
        <v>40</v>
      </c>
      <c r="N19" s="28"/>
      <c r="O19" s="29">
        <v>4.8828125000000003E-5</v>
      </c>
    </row>
    <row r="20" spans="1:15" x14ac:dyDescent="0.25">
      <c r="A20" s="28">
        <v>16</v>
      </c>
      <c r="B20" s="28" t="s">
        <v>60</v>
      </c>
      <c r="C20" s="28"/>
      <c r="D20" s="28"/>
      <c r="E20" s="29">
        <v>0.02</v>
      </c>
      <c r="F20" s="28" t="s">
        <v>49</v>
      </c>
      <c r="G20" s="29">
        <v>6.25E-2</v>
      </c>
      <c r="H20" s="28" t="s">
        <v>49</v>
      </c>
      <c r="I20" s="29">
        <v>8.3333329999999997E-2</v>
      </c>
      <c r="J20" s="28" t="s">
        <v>53</v>
      </c>
      <c r="K20" s="29">
        <v>1.0417E-4</v>
      </c>
      <c r="L20" s="28"/>
      <c r="M20" s="30">
        <v>10</v>
      </c>
      <c r="N20" s="28"/>
      <c r="O20" s="29">
        <v>4.88296875E-6</v>
      </c>
    </row>
    <row r="21" spans="1:15" x14ac:dyDescent="0.25">
      <c r="A21" s="28">
        <v>16</v>
      </c>
      <c r="B21" s="28" t="s">
        <v>228</v>
      </c>
      <c r="C21" s="28"/>
      <c r="D21" s="28"/>
      <c r="E21" s="29">
        <v>0.05</v>
      </c>
      <c r="F21" s="28" t="s">
        <v>49</v>
      </c>
      <c r="G21" s="29">
        <v>6.25E-2</v>
      </c>
      <c r="H21" s="28" t="s">
        <v>49</v>
      </c>
      <c r="I21" s="29">
        <v>0.33333332999999998</v>
      </c>
      <c r="J21" s="28" t="s">
        <v>53</v>
      </c>
      <c r="K21" s="29">
        <v>1.04167E-3</v>
      </c>
      <c r="L21" s="28"/>
      <c r="M21" s="30">
        <v>40</v>
      </c>
      <c r="N21" s="28"/>
      <c r="O21" s="29">
        <v>4.8828281250000002E-5</v>
      </c>
    </row>
    <row r="22" spans="1:15" x14ac:dyDescent="0.25">
      <c r="A22" s="28">
        <v>17</v>
      </c>
      <c r="B22" s="28" t="s">
        <v>9</v>
      </c>
      <c r="C22" s="28"/>
      <c r="D22" s="28"/>
      <c r="E22" s="29">
        <v>0.05</v>
      </c>
      <c r="F22" s="28" t="s">
        <v>49</v>
      </c>
      <c r="G22" s="29">
        <v>6.25E-2</v>
      </c>
      <c r="H22" s="28" t="s">
        <v>49</v>
      </c>
      <c r="I22" s="29">
        <v>1</v>
      </c>
      <c r="J22" s="28" t="s">
        <v>53</v>
      </c>
      <c r="K22" s="29">
        <v>3.1250000000000002E-3</v>
      </c>
      <c r="L22" s="28"/>
      <c r="M22" s="30">
        <v>240</v>
      </c>
      <c r="N22" s="28"/>
      <c r="O22" s="29">
        <v>2.9296874999999999E-4</v>
      </c>
    </row>
    <row r="23" spans="1:15" x14ac:dyDescent="0.25">
      <c r="A23" s="28">
        <v>18</v>
      </c>
      <c r="B23" s="28" t="s">
        <v>229</v>
      </c>
      <c r="C23" s="28"/>
      <c r="D23" s="28"/>
      <c r="E23" s="29">
        <v>0.05</v>
      </c>
      <c r="F23" s="28" t="s">
        <v>49</v>
      </c>
      <c r="G23" s="29">
        <v>6.25E-2</v>
      </c>
      <c r="H23" s="28" t="s">
        <v>49</v>
      </c>
      <c r="I23" s="29">
        <v>1</v>
      </c>
      <c r="J23" s="28" t="s">
        <v>53</v>
      </c>
      <c r="K23" s="29">
        <v>3.1250000000000002E-3</v>
      </c>
      <c r="L23" s="28"/>
      <c r="M23" s="30">
        <v>320</v>
      </c>
      <c r="N23" s="28"/>
      <c r="O23" s="29">
        <v>3.9062500000000002E-4</v>
      </c>
    </row>
    <row r="24" spans="1:15" x14ac:dyDescent="0.25">
      <c r="A24" s="28">
        <v>19</v>
      </c>
      <c r="B24" s="28" t="s">
        <v>216</v>
      </c>
      <c r="C24" s="28"/>
      <c r="D24" s="28"/>
      <c r="E24" s="29">
        <v>3.3333330000000001E-2</v>
      </c>
      <c r="F24" s="28" t="s">
        <v>49</v>
      </c>
      <c r="G24" s="29">
        <v>6.25E-2</v>
      </c>
      <c r="H24" s="28" t="s">
        <v>49</v>
      </c>
      <c r="I24" s="29">
        <v>1</v>
      </c>
      <c r="J24" s="28" t="s">
        <v>53</v>
      </c>
      <c r="K24" s="29">
        <v>2.08333E-3</v>
      </c>
      <c r="L24" s="28"/>
      <c r="M24" s="30">
        <v>160</v>
      </c>
      <c r="N24" s="28"/>
      <c r="O24" s="29">
        <v>1.30208125E-4</v>
      </c>
    </row>
    <row r="25" spans="1:15" x14ac:dyDescent="0.25">
      <c r="A25" s="28">
        <v>20</v>
      </c>
      <c r="B25" s="28" t="s">
        <v>230</v>
      </c>
      <c r="C25" s="28"/>
      <c r="D25" s="28"/>
      <c r="E25" s="29">
        <v>0.05</v>
      </c>
      <c r="F25" s="28" t="s">
        <v>49</v>
      </c>
      <c r="G25" s="29">
        <v>6.25E-2</v>
      </c>
      <c r="H25" s="28" t="s">
        <v>49</v>
      </c>
      <c r="I25" s="29">
        <v>1</v>
      </c>
      <c r="J25" s="28" t="s">
        <v>53</v>
      </c>
      <c r="K25" s="29">
        <v>3.1250000000000002E-3</v>
      </c>
      <c r="L25" s="28"/>
      <c r="M25" s="30">
        <v>160</v>
      </c>
      <c r="N25" s="28"/>
      <c r="O25" s="29">
        <v>1.9531250000000001E-4</v>
      </c>
    </row>
    <row r="26" spans="1:15" x14ac:dyDescent="0.25">
      <c r="A26" s="18">
        <v>28</v>
      </c>
      <c r="B26" s="18" t="s">
        <v>117</v>
      </c>
      <c r="C26" s="18"/>
      <c r="D26" s="18"/>
      <c r="E26" s="19">
        <v>3.3333330000000001E-2</v>
      </c>
      <c r="F26" s="18" t="s">
        <v>49</v>
      </c>
      <c r="G26" s="19">
        <v>6.25E-2</v>
      </c>
      <c r="H26" s="18" t="s">
        <v>49</v>
      </c>
      <c r="I26" s="19">
        <v>1</v>
      </c>
      <c r="J26" s="18" t="s">
        <v>53</v>
      </c>
      <c r="K26" s="19">
        <v>2.08333E-3</v>
      </c>
      <c r="L26" s="18"/>
      <c r="M26" s="20">
        <v>480</v>
      </c>
      <c r="N26" s="18"/>
      <c r="O26" s="19">
        <v>3.9062437500000003E-4</v>
      </c>
    </row>
    <row r="27" spans="1:15" x14ac:dyDescent="0.25">
      <c r="A27" s="21" t="s">
        <v>61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3">
        <v>2.256215496679688E-3</v>
      </c>
    </row>
    <row r="29" spans="1:15" x14ac:dyDescent="0.25">
      <c r="A29" s="26" t="s">
        <v>57</v>
      </c>
      <c r="B29" s="44" t="s">
        <v>231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</row>
    <row r="30" spans="1:15" x14ac:dyDescent="0.25">
      <c r="A30" s="27" t="s">
        <v>214</v>
      </c>
      <c r="B30" s="41" t="s">
        <v>232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3"/>
    </row>
    <row r="32" spans="1:15" x14ac:dyDescent="0.25">
      <c r="A32" s="28">
        <v>1</v>
      </c>
      <c r="B32" s="28" t="s">
        <v>126</v>
      </c>
      <c r="C32" s="28"/>
      <c r="D32" s="28"/>
      <c r="E32" s="29">
        <v>3.3333330000000001E-2</v>
      </c>
      <c r="F32" s="28" t="s">
        <v>49</v>
      </c>
      <c r="G32" s="29">
        <v>2.7799999999999998E-2</v>
      </c>
      <c r="H32" s="28" t="s">
        <v>49</v>
      </c>
      <c r="I32" s="29">
        <v>1</v>
      </c>
      <c r="J32" s="28" t="s">
        <v>53</v>
      </c>
      <c r="K32" s="29">
        <v>9.2666999999999999E-4</v>
      </c>
      <c r="L32" s="28"/>
      <c r="M32" s="30">
        <v>1.35</v>
      </c>
      <c r="N32" s="28"/>
      <c r="O32" s="29">
        <v>4.8867363281249998E-7</v>
      </c>
    </row>
    <row r="33" spans="1:15" x14ac:dyDescent="0.25">
      <c r="A33" s="28">
        <v>2</v>
      </c>
      <c r="B33" s="28" t="s">
        <v>29</v>
      </c>
      <c r="C33" s="28"/>
      <c r="D33" s="28"/>
      <c r="E33" s="29">
        <v>0.05</v>
      </c>
      <c r="F33" s="28" t="s">
        <v>49</v>
      </c>
      <c r="G33" s="29">
        <v>2.7799999999999998E-2</v>
      </c>
      <c r="H33" s="28" t="s">
        <v>49</v>
      </c>
      <c r="I33" s="29">
        <v>0.1</v>
      </c>
      <c r="J33" s="28" t="s">
        <v>53</v>
      </c>
      <c r="K33" s="29">
        <v>1.3899999999999999E-4</v>
      </c>
      <c r="L33" s="28"/>
      <c r="M33" s="30">
        <v>31.864999999999998</v>
      </c>
      <c r="N33" s="28"/>
      <c r="O33" s="29">
        <v>1.730169921875E-5</v>
      </c>
    </row>
    <row r="34" spans="1:15" x14ac:dyDescent="0.25">
      <c r="A34" s="28">
        <v>2</v>
      </c>
      <c r="B34" s="28" t="s">
        <v>226</v>
      </c>
      <c r="C34" s="28"/>
      <c r="D34" s="28"/>
      <c r="E34" s="29">
        <v>3.3333330000000001E-2</v>
      </c>
      <c r="F34" s="28" t="s">
        <v>49</v>
      </c>
      <c r="G34" s="29">
        <v>2.7799999999999998E-2</v>
      </c>
      <c r="H34" s="28" t="s">
        <v>49</v>
      </c>
      <c r="I34" s="29">
        <v>0.52500000000000002</v>
      </c>
      <c r="J34" s="28" t="s">
        <v>53</v>
      </c>
      <c r="K34" s="29">
        <v>4.8650000000000001E-4</v>
      </c>
      <c r="L34" s="28"/>
      <c r="M34" s="30">
        <v>167.29124999999999</v>
      </c>
      <c r="N34" s="28"/>
      <c r="O34" s="29">
        <v>6.0555947265624988E-5</v>
      </c>
    </row>
    <row r="35" spans="1:15" x14ac:dyDescent="0.25">
      <c r="A35" s="28">
        <v>3</v>
      </c>
      <c r="B35" s="28" t="s">
        <v>174</v>
      </c>
      <c r="C35" s="28" t="s">
        <v>35</v>
      </c>
      <c r="D35" s="28"/>
      <c r="E35" s="29">
        <v>0.05</v>
      </c>
      <c r="F35" s="28" t="s">
        <v>49</v>
      </c>
      <c r="G35" s="29">
        <v>2.7799999999999998E-2</v>
      </c>
      <c r="H35" s="28" t="s">
        <v>49</v>
      </c>
      <c r="I35" s="29">
        <v>0.125</v>
      </c>
      <c r="J35" s="28" t="s">
        <v>53</v>
      </c>
      <c r="K35" s="29">
        <v>1.7374999999999999E-4</v>
      </c>
      <c r="L35" s="28"/>
      <c r="M35" s="30">
        <v>30</v>
      </c>
      <c r="N35" s="28"/>
      <c r="O35" s="29">
        <v>1.62890625E-5</v>
      </c>
    </row>
    <row r="36" spans="1:15" x14ac:dyDescent="0.25">
      <c r="A36" s="28">
        <v>3</v>
      </c>
      <c r="B36" s="28" t="s">
        <v>88</v>
      </c>
      <c r="C36" s="28"/>
      <c r="D36" s="28"/>
      <c r="E36" s="29">
        <v>3.3333330000000001E-2</v>
      </c>
      <c r="F36" s="28" t="s">
        <v>49</v>
      </c>
      <c r="G36" s="29">
        <v>2.7799999999999998E-2</v>
      </c>
      <c r="H36" s="28" t="s">
        <v>49</v>
      </c>
      <c r="I36" s="29">
        <v>0.16666666999999999</v>
      </c>
      <c r="J36" s="28" t="s">
        <v>53</v>
      </c>
      <c r="K36" s="29">
        <v>1.5443999999999999E-4</v>
      </c>
      <c r="L36" s="28"/>
      <c r="M36" s="30">
        <v>40.000000999999997</v>
      </c>
      <c r="N36" s="28"/>
      <c r="O36" s="29">
        <v>1.4478749999999999E-5</v>
      </c>
    </row>
    <row r="37" spans="1:15" x14ac:dyDescent="0.25">
      <c r="A37" s="28">
        <v>3</v>
      </c>
      <c r="B37" s="28" t="s">
        <v>21</v>
      </c>
      <c r="C37" s="28"/>
      <c r="D37" s="28"/>
      <c r="E37" s="29">
        <v>3.3333330000000001E-2</v>
      </c>
      <c r="F37" s="28" t="s">
        <v>49</v>
      </c>
      <c r="G37" s="29">
        <v>2.7799999999999998E-2</v>
      </c>
      <c r="H37" s="28" t="s">
        <v>49</v>
      </c>
      <c r="I37" s="29">
        <v>6.25E-2</v>
      </c>
      <c r="J37" s="28" t="s">
        <v>53</v>
      </c>
      <c r="K37" s="29">
        <v>5.7920000000000001E-5</v>
      </c>
      <c r="L37" s="28"/>
      <c r="M37" s="30">
        <v>15</v>
      </c>
      <c r="N37" s="28"/>
      <c r="O37" s="29">
        <v>5.4300000000000014E-6</v>
      </c>
    </row>
    <row r="38" spans="1:15" x14ac:dyDescent="0.25">
      <c r="A38" s="28">
        <v>3</v>
      </c>
      <c r="B38" s="28" t="s">
        <v>207</v>
      </c>
      <c r="C38" s="28" t="s">
        <v>35</v>
      </c>
      <c r="D38" s="28"/>
      <c r="E38" s="29">
        <v>0.05</v>
      </c>
      <c r="F38" s="28" t="s">
        <v>49</v>
      </c>
      <c r="G38" s="29">
        <v>2.7799999999999998E-2</v>
      </c>
      <c r="H38" s="28" t="s">
        <v>49</v>
      </c>
      <c r="I38" s="29">
        <v>0.125</v>
      </c>
      <c r="J38" s="28" t="s">
        <v>53</v>
      </c>
      <c r="K38" s="29">
        <v>1.7374999999999999E-4</v>
      </c>
      <c r="L38" s="28"/>
      <c r="M38" s="30">
        <v>30</v>
      </c>
      <c r="N38" s="28"/>
      <c r="O38" s="29">
        <v>1.62890625E-5</v>
      </c>
    </row>
    <row r="39" spans="1:15" x14ac:dyDescent="0.25">
      <c r="A39" s="28">
        <v>3</v>
      </c>
      <c r="B39" s="28" t="s">
        <v>25</v>
      </c>
      <c r="C39" s="28"/>
      <c r="D39" s="28"/>
      <c r="E39" s="29">
        <v>3.3333330000000001E-2</v>
      </c>
      <c r="F39" s="28" t="s">
        <v>49</v>
      </c>
      <c r="G39" s="29">
        <v>2.7799999999999998E-2</v>
      </c>
      <c r="H39" s="28" t="s">
        <v>49</v>
      </c>
      <c r="I39" s="29">
        <v>0.16666666999999999</v>
      </c>
      <c r="J39" s="28" t="s">
        <v>53</v>
      </c>
      <c r="K39" s="29">
        <v>1.5443999999999999E-4</v>
      </c>
      <c r="L39" s="28"/>
      <c r="M39" s="30">
        <v>40.000000999999997</v>
      </c>
      <c r="N39" s="28"/>
      <c r="O39" s="29">
        <v>1.4478749999999999E-5</v>
      </c>
    </row>
    <row r="40" spans="1:15" x14ac:dyDescent="0.25">
      <c r="A40" s="28">
        <v>3</v>
      </c>
      <c r="B40" s="28" t="s">
        <v>23</v>
      </c>
      <c r="C40" s="28"/>
      <c r="D40" s="28"/>
      <c r="E40" s="29">
        <v>3.3333330000000001E-2</v>
      </c>
      <c r="F40" s="28" t="s">
        <v>49</v>
      </c>
      <c r="G40" s="29">
        <v>2.7799999999999998E-2</v>
      </c>
      <c r="H40" s="28" t="s">
        <v>49</v>
      </c>
      <c r="I40" s="29">
        <v>6.25E-2</v>
      </c>
      <c r="J40" s="28" t="s">
        <v>53</v>
      </c>
      <c r="K40" s="29">
        <v>5.7920000000000001E-5</v>
      </c>
      <c r="L40" s="28"/>
      <c r="M40" s="30">
        <v>15</v>
      </c>
      <c r="N40" s="28"/>
      <c r="O40" s="29">
        <v>5.4300000000000014E-6</v>
      </c>
    </row>
    <row r="41" spans="1:15" x14ac:dyDescent="0.25">
      <c r="A41" s="28">
        <v>3</v>
      </c>
      <c r="B41" s="28" t="s">
        <v>87</v>
      </c>
      <c r="C41" s="28"/>
      <c r="D41" s="28"/>
      <c r="E41" s="29">
        <v>3.3333330000000001E-2</v>
      </c>
      <c r="F41" s="28" t="s">
        <v>49</v>
      </c>
      <c r="G41" s="29">
        <v>2.7799999999999998E-2</v>
      </c>
      <c r="H41" s="28" t="s">
        <v>49</v>
      </c>
      <c r="I41" s="29">
        <v>0.16666666999999999</v>
      </c>
      <c r="J41" s="28" t="s">
        <v>53</v>
      </c>
      <c r="K41" s="29">
        <v>1.5443999999999999E-4</v>
      </c>
      <c r="L41" s="28"/>
      <c r="M41" s="30">
        <v>40.000000999999997</v>
      </c>
      <c r="N41" s="28"/>
      <c r="O41" s="29">
        <v>1.4478749999999999E-5</v>
      </c>
    </row>
    <row r="42" spans="1:15" x14ac:dyDescent="0.25">
      <c r="A42" s="28">
        <v>3</v>
      </c>
      <c r="B42" s="28" t="s">
        <v>19</v>
      </c>
      <c r="C42" s="28"/>
      <c r="D42" s="28"/>
      <c r="E42" s="29">
        <v>3.3333330000000001E-2</v>
      </c>
      <c r="F42" s="28" t="s">
        <v>49</v>
      </c>
      <c r="G42" s="29">
        <v>2.7799999999999998E-2</v>
      </c>
      <c r="H42" s="28" t="s">
        <v>49</v>
      </c>
      <c r="I42" s="29">
        <v>0.125</v>
      </c>
      <c r="J42" s="28" t="s">
        <v>53</v>
      </c>
      <c r="K42" s="29">
        <v>1.1582999999999999E-4</v>
      </c>
      <c r="L42" s="28"/>
      <c r="M42" s="30">
        <v>30</v>
      </c>
      <c r="N42" s="28"/>
      <c r="O42" s="29">
        <v>1.08590625E-5</v>
      </c>
    </row>
    <row r="43" spans="1:15" x14ac:dyDescent="0.25">
      <c r="A43" s="28">
        <v>4</v>
      </c>
      <c r="B43" s="28" t="s">
        <v>199</v>
      </c>
      <c r="C43" s="28"/>
      <c r="D43" s="28"/>
      <c r="E43" s="29">
        <v>3.3333330000000001E-2</v>
      </c>
      <c r="F43" s="28" t="s">
        <v>49</v>
      </c>
      <c r="G43" s="29">
        <v>2.7799999999999998E-2</v>
      </c>
      <c r="H43" s="28" t="s">
        <v>49</v>
      </c>
      <c r="I43" s="29">
        <v>1</v>
      </c>
      <c r="J43" s="28" t="s">
        <v>53</v>
      </c>
      <c r="K43" s="29">
        <v>9.2666999999999999E-4</v>
      </c>
      <c r="L43" s="28"/>
      <c r="M43" s="30">
        <v>80</v>
      </c>
      <c r="N43" s="28"/>
      <c r="O43" s="29">
        <v>2.89584375E-5</v>
      </c>
    </row>
    <row r="44" spans="1:15" x14ac:dyDescent="0.25">
      <c r="A44" s="28">
        <v>14</v>
      </c>
      <c r="B44" s="28" t="s">
        <v>140</v>
      </c>
      <c r="C44" s="28"/>
      <c r="D44" s="28"/>
      <c r="E44" s="29">
        <v>0.05</v>
      </c>
      <c r="F44" s="28" t="s">
        <v>49</v>
      </c>
      <c r="G44" s="29">
        <v>2.7256880000000001E-2</v>
      </c>
      <c r="H44" s="28" t="s">
        <v>49</v>
      </c>
      <c r="I44" s="29">
        <v>1</v>
      </c>
      <c r="J44" s="28" t="s">
        <v>53</v>
      </c>
      <c r="K44" s="29">
        <v>1.3628399999999999E-3</v>
      </c>
      <c r="L44" s="28"/>
      <c r="M44" s="30">
        <v>240</v>
      </c>
      <c r="N44" s="28"/>
      <c r="O44" s="29">
        <v>1.2776625E-4</v>
      </c>
    </row>
    <row r="45" spans="1:15" x14ac:dyDescent="0.25">
      <c r="A45" s="28">
        <v>15</v>
      </c>
      <c r="B45" s="28" t="s">
        <v>227</v>
      </c>
      <c r="C45" s="28"/>
      <c r="D45" s="28"/>
      <c r="E45" s="29">
        <v>0.05</v>
      </c>
      <c r="F45" s="28" t="s">
        <v>49</v>
      </c>
      <c r="G45" s="29">
        <v>2.7256880000000001E-2</v>
      </c>
      <c r="H45" s="28" t="s">
        <v>49</v>
      </c>
      <c r="I45" s="29">
        <v>1</v>
      </c>
      <c r="J45" s="28" t="s">
        <v>53</v>
      </c>
      <c r="K45" s="29">
        <v>1.3628399999999999E-3</v>
      </c>
      <c r="L45" s="28"/>
      <c r="M45" s="30">
        <v>40</v>
      </c>
      <c r="N45" s="28"/>
      <c r="O45" s="29">
        <v>2.1294374999999999E-5</v>
      </c>
    </row>
    <row r="46" spans="1:15" x14ac:dyDescent="0.25">
      <c r="A46" s="28">
        <v>16</v>
      </c>
      <c r="B46" s="28" t="s">
        <v>228</v>
      </c>
      <c r="C46" s="28"/>
      <c r="D46" s="28"/>
      <c r="E46" s="29">
        <v>0.05</v>
      </c>
      <c r="F46" s="28" t="s">
        <v>49</v>
      </c>
      <c r="G46" s="29">
        <v>2.7256880000000001E-2</v>
      </c>
      <c r="H46" s="28" t="s">
        <v>49</v>
      </c>
      <c r="I46" s="29">
        <v>0.33333332999999998</v>
      </c>
      <c r="J46" s="28" t="s">
        <v>53</v>
      </c>
      <c r="K46" s="29">
        <v>4.5427999999999999E-4</v>
      </c>
      <c r="L46" s="28"/>
      <c r="M46" s="30">
        <v>40</v>
      </c>
      <c r="N46" s="28"/>
      <c r="O46" s="29">
        <v>2.1294374999999999E-5</v>
      </c>
    </row>
    <row r="47" spans="1:15" x14ac:dyDescent="0.25">
      <c r="A47" s="28">
        <v>16</v>
      </c>
      <c r="B47" s="28" t="s">
        <v>60</v>
      </c>
      <c r="C47" s="28"/>
      <c r="D47" s="28"/>
      <c r="E47" s="29">
        <v>0.02</v>
      </c>
      <c r="F47" s="28" t="s">
        <v>49</v>
      </c>
      <c r="G47" s="29">
        <v>2.7256880000000001E-2</v>
      </c>
      <c r="H47" s="28" t="s">
        <v>49</v>
      </c>
      <c r="I47" s="29">
        <v>8.3333329999999997E-2</v>
      </c>
      <c r="J47" s="28" t="s">
        <v>53</v>
      </c>
      <c r="K47" s="29">
        <v>4.5429999999999997E-5</v>
      </c>
      <c r="L47" s="28"/>
      <c r="M47" s="30">
        <v>10</v>
      </c>
      <c r="N47" s="28"/>
      <c r="O47" s="29">
        <v>2.1295312500000002E-6</v>
      </c>
    </row>
    <row r="48" spans="1:15" x14ac:dyDescent="0.25">
      <c r="A48" s="28">
        <v>17</v>
      </c>
      <c r="B48" s="28" t="s">
        <v>9</v>
      </c>
      <c r="C48" s="28"/>
      <c r="D48" s="28"/>
      <c r="E48" s="29">
        <v>0.05</v>
      </c>
      <c r="F48" s="28" t="s">
        <v>49</v>
      </c>
      <c r="G48" s="29">
        <v>2.7256880000000001E-2</v>
      </c>
      <c r="H48" s="28" t="s">
        <v>49</v>
      </c>
      <c r="I48" s="29">
        <v>1</v>
      </c>
      <c r="J48" s="28" t="s">
        <v>53</v>
      </c>
      <c r="K48" s="29">
        <v>1.3628399999999999E-3</v>
      </c>
      <c r="L48" s="28"/>
      <c r="M48" s="30">
        <v>240</v>
      </c>
      <c r="N48" s="28"/>
      <c r="O48" s="29">
        <v>1.2776625E-4</v>
      </c>
    </row>
    <row r="49" spans="1:15" x14ac:dyDescent="0.25">
      <c r="A49" s="28">
        <v>18</v>
      </c>
      <c r="B49" s="28" t="s">
        <v>229</v>
      </c>
      <c r="C49" s="28"/>
      <c r="D49" s="28"/>
      <c r="E49" s="29">
        <v>0.05</v>
      </c>
      <c r="F49" s="28" t="s">
        <v>49</v>
      </c>
      <c r="G49" s="29">
        <v>2.7256880000000001E-2</v>
      </c>
      <c r="H49" s="28" t="s">
        <v>49</v>
      </c>
      <c r="I49" s="29">
        <v>1</v>
      </c>
      <c r="J49" s="28" t="s">
        <v>53</v>
      </c>
      <c r="K49" s="29">
        <v>1.3628399999999999E-3</v>
      </c>
      <c r="L49" s="28"/>
      <c r="M49" s="30">
        <v>320</v>
      </c>
      <c r="N49" s="28"/>
      <c r="O49" s="29">
        <v>1.7035499999999999E-4</v>
      </c>
    </row>
    <row r="50" spans="1:15" x14ac:dyDescent="0.25">
      <c r="A50" s="28">
        <v>19</v>
      </c>
      <c r="B50" s="28" t="s">
        <v>216</v>
      </c>
      <c r="C50" s="28"/>
      <c r="D50" s="28"/>
      <c r="E50" s="29">
        <v>3.3333330000000001E-2</v>
      </c>
      <c r="F50" s="28" t="s">
        <v>49</v>
      </c>
      <c r="G50" s="29">
        <v>2.7256880000000001E-2</v>
      </c>
      <c r="H50" s="28" t="s">
        <v>49</v>
      </c>
      <c r="I50" s="29">
        <v>1</v>
      </c>
      <c r="J50" s="28" t="s">
        <v>53</v>
      </c>
      <c r="K50" s="29">
        <v>9.0855999999999999E-4</v>
      </c>
      <c r="L50" s="28"/>
      <c r="M50" s="30">
        <v>160</v>
      </c>
      <c r="N50" s="28"/>
      <c r="O50" s="29">
        <v>5.6784999999999999E-5</v>
      </c>
    </row>
    <row r="51" spans="1:15" x14ac:dyDescent="0.25">
      <c r="A51" s="28">
        <v>20</v>
      </c>
      <c r="B51" s="28" t="s">
        <v>230</v>
      </c>
      <c r="C51" s="28"/>
      <c r="D51" s="28"/>
      <c r="E51" s="29">
        <v>0.05</v>
      </c>
      <c r="F51" s="28" t="s">
        <v>49</v>
      </c>
      <c r="G51" s="29">
        <v>2.7256880000000001E-2</v>
      </c>
      <c r="H51" s="28" t="s">
        <v>49</v>
      </c>
      <c r="I51" s="29">
        <v>1</v>
      </c>
      <c r="J51" s="28" t="s">
        <v>53</v>
      </c>
      <c r="K51" s="29">
        <v>1.3628399999999999E-3</v>
      </c>
      <c r="L51" s="28"/>
      <c r="M51" s="30">
        <v>160</v>
      </c>
      <c r="N51" s="28"/>
      <c r="O51" s="29">
        <v>8.5177499999999996E-5</v>
      </c>
    </row>
    <row r="52" spans="1:15" x14ac:dyDescent="0.25">
      <c r="A52" s="18">
        <v>28</v>
      </c>
      <c r="B52" s="18" t="s">
        <v>117</v>
      </c>
      <c r="C52" s="18"/>
      <c r="D52" s="18"/>
      <c r="E52" s="19">
        <v>3.3333330000000001E-2</v>
      </c>
      <c r="F52" s="18" t="s">
        <v>49</v>
      </c>
      <c r="G52" s="19">
        <v>2.7799999999999998E-2</v>
      </c>
      <c r="H52" s="18" t="s">
        <v>49</v>
      </c>
      <c r="I52" s="19">
        <v>1</v>
      </c>
      <c r="J52" s="18" t="s">
        <v>53</v>
      </c>
      <c r="K52" s="19">
        <v>9.2666999999999999E-4</v>
      </c>
      <c r="L52" s="18"/>
      <c r="M52" s="20">
        <v>480</v>
      </c>
      <c r="N52" s="18"/>
      <c r="O52" s="19">
        <v>1.7375062499999999E-4</v>
      </c>
    </row>
    <row r="53" spans="1:15" x14ac:dyDescent="0.25">
      <c r="A53" s="21" t="s">
        <v>61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3">
        <v>9.9135710136718743E-4</v>
      </c>
    </row>
    <row r="55" spans="1:15" x14ac:dyDescent="0.25">
      <c r="A55" s="26" t="s">
        <v>57</v>
      </c>
      <c r="B55" s="44" t="s">
        <v>233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6"/>
    </row>
    <row r="56" spans="1:15" x14ac:dyDescent="0.25">
      <c r="A56" s="27" t="s">
        <v>214</v>
      </c>
      <c r="B56" s="41" t="s">
        <v>234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3"/>
    </row>
    <row r="58" spans="1:15" x14ac:dyDescent="0.25">
      <c r="A58" s="28">
        <v>2</v>
      </c>
      <c r="B58" s="28" t="s">
        <v>31</v>
      </c>
      <c r="C58" s="28"/>
      <c r="D58" s="28"/>
      <c r="E58" s="29">
        <v>8.3333299999999999E-3</v>
      </c>
      <c r="F58" s="28" t="s">
        <v>49</v>
      </c>
      <c r="G58" s="29">
        <v>3.0000000000000001E-3</v>
      </c>
      <c r="H58" s="28" t="s">
        <v>49</v>
      </c>
      <c r="I58" s="29">
        <v>7.4999999999999997E-2</v>
      </c>
      <c r="J58" s="28" t="s">
        <v>53</v>
      </c>
      <c r="K58" s="29">
        <v>1.8700000000000001E-6</v>
      </c>
      <c r="L58" s="28"/>
      <c r="M58" s="30">
        <v>23.89875</v>
      </c>
      <c r="N58" s="28"/>
      <c r="O58" s="29">
        <v>2.3276386718750001E-7</v>
      </c>
    </row>
    <row r="59" spans="1:15" x14ac:dyDescent="0.25">
      <c r="A59" s="18">
        <v>2</v>
      </c>
      <c r="B59" s="18" t="s">
        <v>235</v>
      </c>
      <c r="C59" s="18" t="s">
        <v>41</v>
      </c>
      <c r="D59" s="18"/>
      <c r="E59" s="19">
        <v>8.3333299999999999E-3</v>
      </c>
      <c r="F59" s="18" t="s">
        <v>49</v>
      </c>
      <c r="G59" s="19">
        <v>3.0000000000000001E-3</v>
      </c>
      <c r="H59" s="18" t="s">
        <v>49</v>
      </c>
      <c r="I59" s="19">
        <v>0.2</v>
      </c>
      <c r="J59" s="18" t="s">
        <v>53</v>
      </c>
      <c r="K59" s="19">
        <v>5.0000000000000004E-6</v>
      </c>
      <c r="L59" s="18"/>
      <c r="M59" s="20">
        <v>63.73</v>
      </c>
      <c r="N59" s="18"/>
      <c r="O59" s="19">
        <v>6.2236328125000004E-7</v>
      </c>
    </row>
    <row r="60" spans="1:15" x14ac:dyDescent="0.25">
      <c r="A60" s="21" t="s">
        <v>61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3">
        <v>8.5512714843750002E-7</v>
      </c>
    </row>
    <row r="62" spans="1:15" x14ac:dyDescent="0.25">
      <c r="A62" s="26" t="s">
        <v>57</v>
      </c>
      <c r="B62" s="44" t="s">
        <v>236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</row>
    <row r="63" spans="1:15" x14ac:dyDescent="0.25">
      <c r="A63" s="27" t="s">
        <v>214</v>
      </c>
      <c r="B63" s="41" t="s">
        <v>237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3"/>
    </row>
    <row r="65" spans="1:15" x14ac:dyDescent="0.25">
      <c r="A65" s="18">
        <v>16</v>
      </c>
      <c r="B65" s="18" t="s">
        <v>238</v>
      </c>
      <c r="C65" s="18"/>
      <c r="D65" s="18"/>
      <c r="E65" s="19">
        <v>5.7142859999999997E-2</v>
      </c>
      <c r="F65" s="18" t="s">
        <v>49</v>
      </c>
      <c r="G65" s="19">
        <v>0.16666666999999999</v>
      </c>
      <c r="H65" s="18" t="s">
        <v>49</v>
      </c>
      <c r="I65" s="19">
        <v>0.58333332999999998</v>
      </c>
      <c r="J65" s="18" t="s">
        <v>53</v>
      </c>
      <c r="K65" s="19">
        <v>5.5555600000000002E-3</v>
      </c>
      <c r="L65" s="18"/>
      <c r="M65" s="20">
        <v>70</v>
      </c>
      <c r="N65" s="18"/>
      <c r="O65" s="19">
        <v>2.60416875E-4</v>
      </c>
    </row>
    <row r="66" spans="1:15" x14ac:dyDescent="0.25">
      <c r="A66" s="21" t="s">
        <v>61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3">
        <v>2.60416875E-4</v>
      </c>
    </row>
    <row r="68" spans="1:15" x14ac:dyDescent="0.25">
      <c r="A68" s="26" t="s">
        <v>57</v>
      </c>
      <c r="B68" s="44" t="s">
        <v>239</v>
      </c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6"/>
    </row>
    <row r="69" spans="1:15" x14ac:dyDescent="0.25">
      <c r="A69" s="27" t="s">
        <v>214</v>
      </c>
      <c r="B69" s="41" t="s">
        <v>68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3"/>
    </row>
    <row r="71" spans="1:15" x14ac:dyDescent="0.25">
      <c r="A71" s="28">
        <v>29</v>
      </c>
      <c r="B71" s="28" t="s">
        <v>192</v>
      </c>
      <c r="C71" s="28"/>
      <c r="D71" s="28"/>
      <c r="E71" s="29">
        <v>1.5625000000000001E-3</v>
      </c>
      <c r="F71" s="28" t="s">
        <v>49</v>
      </c>
      <c r="G71" s="29">
        <v>1</v>
      </c>
      <c r="H71" s="28" t="s">
        <v>49</v>
      </c>
      <c r="I71" s="29">
        <v>0.5</v>
      </c>
      <c r="J71" s="28" t="s">
        <v>53</v>
      </c>
      <c r="K71" s="29">
        <v>7.8125000000000004E-4</v>
      </c>
      <c r="L71" s="28"/>
      <c r="M71" s="30">
        <v>80</v>
      </c>
      <c r="N71" s="28"/>
      <c r="O71" s="29">
        <v>4.8828125000000003E-5</v>
      </c>
    </row>
    <row r="72" spans="1:15" x14ac:dyDescent="0.25">
      <c r="A72" s="18">
        <v>29</v>
      </c>
      <c r="B72" s="18" t="s">
        <v>103</v>
      </c>
      <c r="C72" s="18"/>
      <c r="D72" s="18"/>
      <c r="E72" s="19">
        <v>1.5625000000000001E-3</v>
      </c>
      <c r="F72" s="18" t="s">
        <v>49</v>
      </c>
      <c r="G72" s="19">
        <v>1</v>
      </c>
      <c r="H72" s="18" t="s">
        <v>49</v>
      </c>
      <c r="I72" s="19">
        <v>0.5</v>
      </c>
      <c r="J72" s="18" t="s">
        <v>53</v>
      </c>
      <c r="K72" s="19">
        <v>7.8125000000000004E-4</v>
      </c>
      <c r="L72" s="18"/>
      <c r="M72" s="20">
        <v>80</v>
      </c>
      <c r="N72" s="18"/>
      <c r="O72" s="19">
        <v>4.8828125000000003E-5</v>
      </c>
    </row>
    <row r="73" spans="1:15" x14ac:dyDescent="0.25">
      <c r="A73" s="21" t="s">
        <v>61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3">
        <v>9.7656250000000005E-5</v>
      </c>
    </row>
    <row r="75" spans="1:15" x14ac:dyDescent="0.25">
      <c r="A75" s="26" t="s">
        <v>57</v>
      </c>
      <c r="B75" s="44" t="s">
        <v>240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6"/>
    </row>
    <row r="76" spans="1:15" x14ac:dyDescent="0.25">
      <c r="A76" s="27" t="s">
        <v>214</v>
      </c>
      <c r="B76" s="41" t="s">
        <v>241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3"/>
    </row>
    <row r="78" spans="1:15" x14ac:dyDescent="0.25">
      <c r="A78" s="18">
        <v>2</v>
      </c>
      <c r="B78" s="18" t="s">
        <v>125</v>
      </c>
      <c r="C78" s="18" t="s">
        <v>242</v>
      </c>
      <c r="D78" s="18"/>
      <c r="E78" s="19">
        <v>3.0000000000000001E-3</v>
      </c>
      <c r="F78" s="18" t="s">
        <v>49</v>
      </c>
      <c r="G78" s="19">
        <v>1</v>
      </c>
      <c r="H78" s="18" t="s">
        <v>49</v>
      </c>
      <c r="I78" s="19">
        <v>0.1</v>
      </c>
      <c r="J78" s="18" t="s">
        <v>53</v>
      </c>
      <c r="K78" s="19">
        <v>2.9999999999999997E-4</v>
      </c>
      <c r="L78" s="18"/>
      <c r="M78" s="20">
        <v>31.864999999999998</v>
      </c>
      <c r="N78" s="18"/>
      <c r="O78" s="19">
        <v>3.7341796874999988E-5</v>
      </c>
    </row>
    <row r="79" spans="1:15" x14ac:dyDescent="0.25">
      <c r="A79" s="21" t="s">
        <v>61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3">
        <v>3.7341796874999988E-5</v>
      </c>
    </row>
    <row r="81" spans="1:15" x14ac:dyDescent="0.25">
      <c r="A81" s="26" t="s">
        <v>57</v>
      </c>
      <c r="B81" s="44" t="s">
        <v>243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6"/>
    </row>
    <row r="82" spans="1:15" x14ac:dyDescent="0.25">
      <c r="A82" s="27" t="s">
        <v>214</v>
      </c>
      <c r="B82" s="41" t="s">
        <v>241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3"/>
    </row>
    <row r="84" spans="1:15" x14ac:dyDescent="0.25">
      <c r="A84" s="18">
        <v>16</v>
      </c>
      <c r="B84" s="18" t="s">
        <v>60</v>
      </c>
      <c r="C84" s="18"/>
      <c r="D84" s="18"/>
      <c r="E84" s="19">
        <v>0.03</v>
      </c>
      <c r="F84" s="18" t="s">
        <v>49</v>
      </c>
      <c r="G84" s="19">
        <v>0.1</v>
      </c>
      <c r="H84" s="18" t="s">
        <v>49</v>
      </c>
      <c r="I84" s="19">
        <v>8.3333329999999997E-2</v>
      </c>
      <c r="J84" s="18" t="s">
        <v>53</v>
      </c>
      <c r="K84" s="19">
        <v>2.5000000000000001E-4</v>
      </c>
      <c r="L84" s="18"/>
      <c r="M84" s="20">
        <v>10</v>
      </c>
      <c r="N84" s="18"/>
      <c r="O84" s="19">
        <v>1.171875E-5</v>
      </c>
    </row>
    <row r="85" spans="1:15" x14ac:dyDescent="0.25">
      <c r="A85" s="21" t="s">
        <v>61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3">
        <v>1.171875E-5</v>
      </c>
    </row>
    <row r="87" spans="1:15" x14ac:dyDescent="0.25">
      <c r="A87" s="26" t="s">
        <v>57</v>
      </c>
      <c r="B87" s="44" t="s">
        <v>244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6"/>
    </row>
    <row r="88" spans="1:15" x14ac:dyDescent="0.25">
      <c r="A88" s="27" t="s">
        <v>214</v>
      </c>
      <c r="B88" s="41" t="s">
        <v>68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3"/>
    </row>
    <row r="90" spans="1:15" x14ac:dyDescent="0.25">
      <c r="A90" s="18">
        <v>16</v>
      </c>
      <c r="B90" s="18" t="s">
        <v>60</v>
      </c>
      <c r="C90" s="18"/>
      <c r="D90" s="18"/>
      <c r="E90" s="19">
        <v>0.03</v>
      </c>
      <c r="F90" s="18" t="s">
        <v>49</v>
      </c>
      <c r="G90" s="19">
        <v>0.05</v>
      </c>
      <c r="H90" s="18" t="s">
        <v>49</v>
      </c>
      <c r="I90" s="19">
        <v>8.3333329999999997E-2</v>
      </c>
      <c r="J90" s="18" t="s">
        <v>53</v>
      </c>
      <c r="K90" s="19">
        <v>1.25E-4</v>
      </c>
      <c r="L90" s="18"/>
      <c r="M90" s="20">
        <v>10</v>
      </c>
      <c r="N90" s="18"/>
      <c r="O90" s="19">
        <v>5.8593750000000001E-6</v>
      </c>
    </row>
    <row r="91" spans="1:15" x14ac:dyDescent="0.25">
      <c r="A91" s="21" t="s">
        <v>61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3">
        <v>5.8593750000000001E-6</v>
      </c>
    </row>
    <row r="93" spans="1:15" x14ac:dyDescent="0.25">
      <c r="A93" s="26" t="s">
        <v>57</v>
      </c>
      <c r="B93" s="44" t="s">
        <v>245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6"/>
    </row>
    <row r="94" spans="1:15" x14ac:dyDescent="0.25">
      <c r="A94" s="27" t="s">
        <v>214</v>
      </c>
      <c r="B94" s="41" t="s">
        <v>68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3"/>
    </row>
    <row r="96" spans="1:15" x14ac:dyDescent="0.25">
      <c r="A96" s="28">
        <v>1</v>
      </c>
      <c r="B96" s="28" t="s">
        <v>126</v>
      </c>
      <c r="C96" s="28"/>
      <c r="D96" s="28"/>
      <c r="E96" s="29">
        <v>3.3333330000000001E-2</v>
      </c>
      <c r="F96" s="28" t="s">
        <v>49</v>
      </c>
      <c r="G96" s="29">
        <v>3.125E-2</v>
      </c>
      <c r="H96" s="28" t="s">
        <v>49</v>
      </c>
      <c r="I96" s="29">
        <v>1</v>
      </c>
      <c r="J96" s="28" t="s">
        <v>53</v>
      </c>
      <c r="K96" s="29">
        <v>1.04167E-3</v>
      </c>
      <c r="L96" s="28"/>
      <c r="M96" s="30">
        <v>1.35</v>
      </c>
      <c r="N96" s="28"/>
      <c r="O96" s="29">
        <v>5.4931816406250003E-7</v>
      </c>
    </row>
    <row r="97" spans="1:15" x14ac:dyDescent="0.25">
      <c r="A97" s="28">
        <v>2</v>
      </c>
      <c r="B97" s="28" t="s">
        <v>29</v>
      </c>
      <c r="C97" s="28"/>
      <c r="D97" s="28"/>
      <c r="E97" s="29">
        <v>0.05</v>
      </c>
      <c r="F97" s="28" t="s">
        <v>49</v>
      </c>
      <c r="G97" s="29">
        <v>3.125E-2</v>
      </c>
      <c r="H97" s="28" t="s">
        <v>49</v>
      </c>
      <c r="I97" s="29">
        <v>0.1</v>
      </c>
      <c r="J97" s="28" t="s">
        <v>53</v>
      </c>
      <c r="K97" s="29">
        <v>1.5625E-4</v>
      </c>
      <c r="L97" s="28"/>
      <c r="M97" s="30">
        <v>31.864999999999998</v>
      </c>
      <c r="N97" s="28"/>
      <c r="O97" s="29">
        <v>1.9448852539062499E-5</v>
      </c>
    </row>
    <row r="98" spans="1:15" x14ac:dyDescent="0.25">
      <c r="A98" s="28">
        <v>2</v>
      </c>
      <c r="B98" s="28" t="s">
        <v>226</v>
      </c>
      <c r="C98" s="28"/>
      <c r="D98" s="28"/>
      <c r="E98" s="29">
        <v>3.3333330000000001E-2</v>
      </c>
      <c r="F98" s="28" t="s">
        <v>49</v>
      </c>
      <c r="G98" s="29">
        <v>3.125E-2</v>
      </c>
      <c r="H98" s="28" t="s">
        <v>49</v>
      </c>
      <c r="I98" s="29">
        <v>0.52500000000000002</v>
      </c>
      <c r="J98" s="28" t="s">
        <v>53</v>
      </c>
      <c r="K98" s="29">
        <v>5.4686999999999997E-4</v>
      </c>
      <c r="L98" s="28"/>
      <c r="M98" s="30">
        <v>167.29124999999999</v>
      </c>
      <c r="N98" s="28"/>
      <c r="O98" s="29">
        <v>6.8070361523437492E-5</v>
      </c>
    </row>
    <row r="99" spans="1:15" x14ac:dyDescent="0.25">
      <c r="A99" s="28">
        <v>3</v>
      </c>
      <c r="B99" s="28" t="s">
        <v>207</v>
      </c>
      <c r="C99" s="28" t="s">
        <v>35</v>
      </c>
      <c r="D99" s="28"/>
      <c r="E99" s="29">
        <v>0.05</v>
      </c>
      <c r="F99" s="28" t="s">
        <v>49</v>
      </c>
      <c r="G99" s="29">
        <v>3.125E-2</v>
      </c>
      <c r="H99" s="28" t="s">
        <v>49</v>
      </c>
      <c r="I99" s="29">
        <v>0.125</v>
      </c>
      <c r="J99" s="28" t="s">
        <v>53</v>
      </c>
      <c r="K99" s="29">
        <v>1.9531E-4</v>
      </c>
      <c r="L99" s="28"/>
      <c r="M99" s="30">
        <v>30</v>
      </c>
      <c r="N99" s="28"/>
      <c r="O99" s="29">
        <v>1.8310312500000001E-5</v>
      </c>
    </row>
    <row r="100" spans="1:15" x14ac:dyDescent="0.25">
      <c r="A100" s="28">
        <v>3</v>
      </c>
      <c r="B100" s="28" t="s">
        <v>21</v>
      </c>
      <c r="C100" s="28"/>
      <c r="D100" s="28"/>
      <c r="E100" s="29">
        <v>3.3333330000000001E-2</v>
      </c>
      <c r="F100" s="28" t="s">
        <v>49</v>
      </c>
      <c r="G100" s="29">
        <v>3.125E-2</v>
      </c>
      <c r="H100" s="28" t="s">
        <v>49</v>
      </c>
      <c r="I100" s="29">
        <v>6.25E-2</v>
      </c>
      <c r="J100" s="28" t="s">
        <v>53</v>
      </c>
      <c r="K100" s="29">
        <v>6.5099999999999997E-5</v>
      </c>
      <c r="L100" s="28"/>
      <c r="M100" s="30">
        <v>15</v>
      </c>
      <c r="N100" s="28"/>
      <c r="O100" s="29">
        <v>6.1031249999999993E-6</v>
      </c>
    </row>
    <row r="101" spans="1:15" x14ac:dyDescent="0.25">
      <c r="A101" s="28">
        <v>3</v>
      </c>
      <c r="B101" s="28" t="s">
        <v>23</v>
      </c>
      <c r="C101" s="28"/>
      <c r="D101" s="28"/>
      <c r="E101" s="29">
        <v>3.3333330000000001E-2</v>
      </c>
      <c r="F101" s="28" t="s">
        <v>49</v>
      </c>
      <c r="G101" s="29">
        <v>3.125E-2</v>
      </c>
      <c r="H101" s="28" t="s">
        <v>49</v>
      </c>
      <c r="I101" s="29">
        <v>6.25E-2</v>
      </c>
      <c r="J101" s="28" t="s">
        <v>53</v>
      </c>
      <c r="K101" s="29">
        <v>6.5099999999999997E-5</v>
      </c>
      <c r="L101" s="28"/>
      <c r="M101" s="30">
        <v>15</v>
      </c>
      <c r="N101" s="28"/>
      <c r="O101" s="29">
        <v>6.1031249999999993E-6</v>
      </c>
    </row>
    <row r="102" spans="1:15" x14ac:dyDescent="0.25">
      <c r="A102" s="28">
        <v>3</v>
      </c>
      <c r="B102" s="28" t="s">
        <v>174</v>
      </c>
      <c r="C102" s="28" t="s">
        <v>35</v>
      </c>
      <c r="D102" s="28"/>
      <c r="E102" s="29">
        <v>0.05</v>
      </c>
      <c r="F102" s="28" t="s">
        <v>49</v>
      </c>
      <c r="G102" s="29">
        <v>3.125E-2</v>
      </c>
      <c r="H102" s="28" t="s">
        <v>49</v>
      </c>
      <c r="I102" s="29">
        <v>0.125</v>
      </c>
      <c r="J102" s="28" t="s">
        <v>53</v>
      </c>
      <c r="K102" s="29">
        <v>1.9531E-4</v>
      </c>
      <c r="L102" s="28"/>
      <c r="M102" s="30">
        <v>30</v>
      </c>
      <c r="N102" s="28"/>
      <c r="O102" s="29">
        <v>1.8310312500000001E-5</v>
      </c>
    </row>
    <row r="103" spans="1:15" x14ac:dyDescent="0.25">
      <c r="A103" s="28">
        <v>3</v>
      </c>
      <c r="B103" s="28" t="s">
        <v>88</v>
      </c>
      <c r="C103" s="28"/>
      <c r="D103" s="28"/>
      <c r="E103" s="29">
        <v>3.3333330000000001E-2</v>
      </c>
      <c r="F103" s="28" t="s">
        <v>49</v>
      </c>
      <c r="G103" s="29">
        <v>3.125E-2</v>
      </c>
      <c r="H103" s="28" t="s">
        <v>49</v>
      </c>
      <c r="I103" s="29">
        <v>0.16666666999999999</v>
      </c>
      <c r="J103" s="28" t="s">
        <v>53</v>
      </c>
      <c r="K103" s="29">
        <v>1.7361000000000001E-4</v>
      </c>
      <c r="L103" s="28"/>
      <c r="M103" s="30">
        <v>40.000000999999997</v>
      </c>
      <c r="N103" s="28"/>
      <c r="O103" s="29">
        <v>1.62759375E-5</v>
      </c>
    </row>
    <row r="104" spans="1:15" x14ac:dyDescent="0.25">
      <c r="A104" s="28">
        <v>3</v>
      </c>
      <c r="B104" s="28" t="s">
        <v>19</v>
      </c>
      <c r="C104" s="28"/>
      <c r="D104" s="28"/>
      <c r="E104" s="29">
        <v>3.3333330000000001E-2</v>
      </c>
      <c r="F104" s="28" t="s">
        <v>49</v>
      </c>
      <c r="G104" s="29">
        <v>3.125E-2</v>
      </c>
      <c r="H104" s="28" t="s">
        <v>49</v>
      </c>
      <c r="I104" s="29">
        <v>0.125</v>
      </c>
      <c r="J104" s="28" t="s">
        <v>53</v>
      </c>
      <c r="K104" s="29">
        <v>1.3020999999999999E-4</v>
      </c>
      <c r="L104" s="28"/>
      <c r="M104" s="30">
        <v>30</v>
      </c>
      <c r="N104" s="28"/>
      <c r="O104" s="29">
        <v>1.22071875E-5</v>
      </c>
    </row>
    <row r="105" spans="1:15" x14ac:dyDescent="0.25">
      <c r="A105" s="28">
        <v>3</v>
      </c>
      <c r="B105" s="28" t="s">
        <v>87</v>
      </c>
      <c r="C105" s="28"/>
      <c r="D105" s="28"/>
      <c r="E105" s="29">
        <v>3.3333330000000001E-2</v>
      </c>
      <c r="F105" s="28" t="s">
        <v>49</v>
      </c>
      <c r="G105" s="29">
        <v>3.125E-2</v>
      </c>
      <c r="H105" s="28" t="s">
        <v>49</v>
      </c>
      <c r="I105" s="29">
        <v>0.16666666999999999</v>
      </c>
      <c r="J105" s="28" t="s">
        <v>53</v>
      </c>
      <c r="K105" s="29">
        <v>1.7361000000000001E-4</v>
      </c>
      <c r="L105" s="28"/>
      <c r="M105" s="30">
        <v>40.000000999999997</v>
      </c>
      <c r="N105" s="28"/>
      <c r="O105" s="29">
        <v>1.62759375E-5</v>
      </c>
    </row>
    <row r="106" spans="1:15" x14ac:dyDescent="0.25">
      <c r="A106" s="28">
        <v>3</v>
      </c>
      <c r="B106" s="28" t="s">
        <v>25</v>
      </c>
      <c r="C106" s="28"/>
      <c r="D106" s="28"/>
      <c r="E106" s="29">
        <v>3.3333330000000001E-2</v>
      </c>
      <c r="F106" s="28" t="s">
        <v>49</v>
      </c>
      <c r="G106" s="29">
        <v>3.125E-2</v>
      </c>
      <c r="H106" s="28" t="s">
        <v>49</v>
      </c>
      <c r="I106" s="29">
        <v>0.16666666999999999</v>
      </c>
      <c r="J106" s="28" t="s">
        <v>53</v>
      </c>
      <c r="K106" s="29">
        <v>1.7361000000000001E-4</v>
      </c>
      <c r="L106" s="28"/>
      <c r="M106" s="30">
        <v>40.000000999999997</v>
      </c>
      <c r="N106" s="28"/>
      <c r="O106" s="29">
        <v>1.62759375E-5</v>
      </c>
    </row>
    <row r="107" spans="1:15" x14ac:dyDescent="0.25">
      <c r="A107" s="28">
        <v>4</v>
      </c>
      <c r="B107" s="28" t="s">
        <v>199</v>
      </c>
      <c r="C107" s="28"/>
      <c r="D107" s="28"/>
      <c r="E107" s="29">
        <v>3.3333330000000001E-2</v>
      </c>
      <c r="F107" s="28" t="s">
        <v>49</v>
      </c>
      <c r="G107" s="29">
        <v>3.125E-2</v>
      </c>
      <c r="H107" s="28" t="s">
        <v>49</v>
      </c>
      <c r="I107" s="29">
        <v>1</v>
      </c>
      <c r="J107" s="28" t="s">
        <v>53</v>
      </c>
      <c r="K107" s="29">
        <v>1.04167E-3</v>
      </c>
      <c r="L107" s="28"/>
      <c r="M107" s="30">
        <v>80</v>
      </c>
      <c r="N107" s="28"/>
      <c r="O107" s="29">
        <v>3.2552187499999999E-5</v>
      </c>
    </row>
    <row r="108" spans="1:15" x14ac:dyDescent="0.25">
      <c r="A108" s="28">
        <v>14</v>
      </c>
      <c r="B108" s="28" t="s">
        <v>140</v>
      </c>
      <c r="C108" s="28"/>
      <c r="D108" s="28"/>
      <c r="E108" s="29">
        <v>0.05</v>
      </c>
      <c r="F108" s="28" t="s">
        <v>49</v>
      </c>
      <c r="G108" s="29">
        <v>3.125E-2</v>
      </c>
      <c r="H108" s="28" t="s">
        <v>49</v>
      </c>
      <c r="I108" s="29">
        <v>1</v>
      </c>
      <c r="J108" s="28" t="s">
        <v>53</v>
      </c>
      <c r="K108" s="29">
        <v>1.5625000000000001E-3</v>
      </c>
      <c r="L108" s="28"/>
      <c r="M108" s="30">
        <v>240</v>
      </c>
      <c r="N108" s="28"/>
      <c r="O108" s="29">
        <v>1.4648437499999999E-4</v>
      </c>
    </row>
    <row r="109" spans="1:15" x14ac:dyDescent="0.25">
      <c r="A109" s="28">
        <v>15</v>
      </c>
      <c r="B109" s="28" t="s">
        <v>227</v>
      </c>
      <c r="C109" s="28"/>
      <c r="D109" s="28"/>
      <c r="E109" s="29">
        <v>0.05</v>
      </c>
      <c r="F109" s="28" t="s">
        <v>49</v>
      </c>
      <c r="G109" s="29">
        <v>3.125E-2</v>
      </c>
      <c r="H109" s="28" t="s">
        <v>49</v>
      </c>
      <c r="I109" s="29">
        <v>1</v>
      </c>
      <c r="J109" s="28" t="s">
        <v>53</v>
      </c>
      <c r="K109" s="29">
        <v>1.5625000000000001E-3</v>
      </c>
      <c r="L109" s="28"/>
      <c r="M109" s="30">
        <v>40</v>
      </c>
      <c r="N109" s="28"/>
      <c r="O109" s="29">
        <v>2.4414062500000001E-5</v>
      </c>
    </row>
    <row r="110" spans="1:15" x14ac:dyDescent="0.25">
      <c r="A110" s="28">
        <v>16</v>
      </c>
      <c r="B110" s="28" t="s">
        <v>228</v>
      </c>
      <c r="C110" s="28"/>
      <c r="D110" s="28"/>
      <c r="E110" s="29">
        <v>0.05</v>
      </c>
      <c r="F110" s="28" t="s">
        <v>49</v>
      </c>
      <c r="G110" s="29">
        <v>3.125E-2</v>
      </c>
      <c r="H110" s="28" t="s">
        <v>49</v>
      </c>
      <c r="I110" s="29">
        <v>0.33333332999999998</v>
      </c>
      <c r="J110" s="28" t="s">
        <v>53</v>
      </c>
      <c r="K110" s="29">
        <v>5.2083000000000001E-4</v>
      </c>
      <c r="L110" s="28"/>
      <c r="M110" s="30">
        <v>40</v>
      </c>
      <c r="N110" s="28"/>
      <c r="O110" s="29">
        <v>2.4413906249999999E-5</v>
      </c>
    </row>
    <row r="111" spans="1:15" x14ac:dyDescent="0.25">
      <c r="A111" s="28">
        <v>16</v>
      </c>
      <c r="B111" s="28" t="s">
        <v>60</v>
      </c>
      <c r="C111" s="28"/>
      <c r="D111" s="28"/>
      <c r="E111" s="29">
        <v>0.02</v>
      </c>
      <c r="F111" s="28" t="s">
        <v>49</v>
      </c>
      <c r="G111" s="29">
        <v>3.125E-2</v>
      </c>
      <c r="H111" s="28" t="s">
        <v>49</v>
      </c>
      <c r="I111" s="29">
        <v>8.3333329999999997E-2</v>
      </c>
      <c r="J111" s="28" t="s">
        <v>53</v>
      </c>
      <c r="K111" s="29">
        <v>5.2080000000000003E-5</v>
      </c>
      <c r="L111" s="28"/>
      <c r="M111" s="30">
        <v>10</v>
      </c>
      <c r="N111" s="28"/>
      <c r="O111" s="29">
        <v>2.4412500000000001E-6</v>
      </c>
    </row>
    <row r="112" spans="1:15" x14ac:dyDescent="0.25">
      <c r="A112" s="28">
        <v>17</v>
      </c>
      <c r="B112" s="28" t="s">
        <v>9</v>
      </c>
      <c r="C112" s="28"/>
      <c r="D112" s="28"/>
      <c r="E112" s="29">
        <v>0.05</v>
      </c>
      <c r="F112" s="28" t="s">
        <v>49</v>
      </c>
      <c r="G112" s="29">
        <v>3.125E-2</v>
      </c>
      <c r="H112" s="28" t="s">
        <v>49</v>
      </c>
      <c r="I112" s="29">
        <v>1</v>
      </c>
      <c r="J112" s="28" t="s">
        <v>53</v>
      </c>
      <c r="K112" s="29">
        <v>1.5625000000000001E-3</v>
      </c>
      <c r="L112" s="28"/>
      <c r="M112" s="30">
        <v>240</v>
      </c>
      <c r="N112" s="28"/>
      <c r="O112" s="29">
        <v>1.4648437499999999E-4</v>
      </c>
    </row>
    <row r="113" spans="1:15" x14ac:dyDescent="0.25">
      <c r="A113" s="28">
        <v>18</v>
      </c>
      <c r="B113" s="28" t="s">
        <v>229</v>
      </c>
      <c r="C113" s="28"/>
      <c r="D113" s="28"/>
      <c r="E113" s="29">
        <v>0.05</v>
      </c>
      <c r="F113" s="28" t="s">
        <v>49</v>
      </c>
      <c r="G113" s="29">
        <v>3.125E-2</v>
      </c>
      <c r="H113" s="28" t="s">
        <v>49</v>
      </c>
      <c r="I113" s="29">
        <v>1</v>
      </c>
      <c r="J113" s="28" t="s">
        <v>53</v>
      </c>
      <c r="K113" s="29">
        <v>1.5625000000000001E-3</v>
      </c>
      <c r="L113" s="28"/>
      <c r="M113" s="30">
        <v>320</v>
      </c>
      <c r="N113" s="28"/>
      <c r="O113" s="29">
        <v>1.9531250000000001E-4</v>
      </c>
    </row>
    <row r="114" spans="1:15" x14ac:dyDescent="0.25">
      <c r="A114" s="28">
        <v>19</v>
      </c>
      <c r="B114" s="28" t="s">
        <v>216</v>
      </c>
      <c r="C114" s="28"/>
      <c r="D114" s="28"/>
      <c r="E114" s="29">
        <v>3.3333330000000001E-2</v>
      </c>
      <c r="F114" s="28" t="s">
        <v>49</v>
      </c>
      <c r="G114" s="29">
        <v>3.125E-2</v>
      </c>
      <c r="H114" s="28" t="s">
        <v>49</v>
      </c>
      <c r="I114" s="29">
        <v>1</v>
      </c>
      <c r="J114" s="28" t="s">
        <v>53</v>
      </c>
      <c r="K114" s="29">
        <v>1.04167E-3</v>
      </c>
      <c r="L114" s="28"/>
      <c r="M114" s="30">
        <v>160</v>
      </c>
      <c r="N114" s="28"/>
      <c r="O114" s="29">
        <v>6.5104374999999998E-5</v>
      </c>
    </row>
    <row r="115" spans="1:15" x14ac:dyDescent="0.25">
      <c r="A115" s="28">
        <v>20</v>
      </c>
      <c r="B115" s="28" t="s">
        <v>230</v>
      </c>
      <c r="C115" s="28"/>
      <c r="D115" s="28"/>
      <c r="E115" s="29">
        <v>0.05</v>
      </c>
      <c r="F115" s="28" t="s">
        <v>49</v>
      </c>
      <c r="G115" s="29">
        <v>3.125E-2</v>
      </c>
      <c r="H115" s="28" t="s">
        <v>49</v>
      </c>
      <c r="I115" s="29">
        <v>1</v>
      </c>
      <c r="J115" s="28" t="s">
        <v>53</v>
      </c>
      <c r="K115" s="29">
        <v>1.5625000000000001E-3</v>
      </c>
      <c r="L115" s="28"/>
      <c r="M115" s="30">
        <v>160</v>
      </c>
      <c r="N115" s="28"/>
      <c r="O115" s="29">
        <v>9.7656250000000005E-5</v>
      </c>
    </row>
    <row r="116" spans="1:15" x14ac:dyDescent="0.25">
      <c r="A116" s="18">
        <v>28</v>
      </c>
      <c r="B116" s="18" t="s">
        <v>117</v>
      </c>
      <c r="C116" s="18"/>
      <c r="D116" s="18"/>
      <c r="E116" s="19">
        <v>3.3333330000000001E-2</v>
      </c>
      <c r="F116" s="18" t="s">
        <v>49</v>
      </c>
      <c r="G116" s="19">
        <v>3.125E-2</v>
      </c>
      <c r="H116" s="18" t="s">
        <v>49</v>
      </c>
      <c r="I116" s="19">
        <v>1</v>
      </c>
      <c r="J116" s="18" t="s">
        <v>53</v>
      </c>
      <c r="K116" s="19">
        <v>1.04167E-3</v>
      </c>
      <c r="L116" s="18"/>
      <c r="M116" s="20">
        <v>480</v>
      </c>
      <c r="N116" s="18"/>
      <c r="O116" s="19">
        <v>1.9531312500000001E-4</v>
      </c>
    </row>
    <row r="117" spans="1:15" x14ac:dyDescent="0.25">
      <c r="A117" s="21" t="s">
        <v>61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3">
        <v>1.1281068134765631E-3</v>
      </c>
    </row>
    <row r="119" spans="1:15" x14ac:dyDescent="0.25">
      <c r="A119" s="26" t="s">
        <v>57</v>
      </c>
      <c r="B119" s="44" t="s">
        <v>246</v>
      </c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6"/>
    </row>
    <row r="120" spans="1:15" x14ac:dyDescent="0.25">
      <c r="A120" s="27" t="s">
        <v>214</v>
      </c>
      <c r="B120" s="41" t="s">
        <v>247</v>
      </c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3"/>
    </row>
    <row r="122" spans="1:15" x14ac:dyDescent="0.25">
      <c r="A122" s="28">
        <v>2</v>
      </c>
      <c r="B122" s="28" t="s">
        <v>31</v>
      </c>
      <c r="C122" s="28"/>
      <c r="D122" s="28"/>
      <c r="E122" s="29">
        <v>8.3333299999999999E-3</v>
      </c>
      <c r="F122" s="28" t="s">
        <v>49</v>
      </c>
      <c r="G122" s="29">
        <v>0.4</v>
      </c>
      <c r="H122" s="28" t="s">
        <v>49</v>
      </c>
      <c r="I122" s="29">
        <v>7.4999999999999997E-2</v>
      </c>
      <c r="J122" s="28" t="s">
        <v>53</v>
      </c>
      <c r="K122" s="29">
        <v>2.5000000000000001E-4</v>
      </c>
      <c r="L122" s="28"/>
      <c r="M122" s="30">
        <v>23.89875</v>
      </c>
      <c r="N122" s="28"/>
      <c r="O122" s="29">
        <v>3.1118164062499998E-5</v>
      </c>
    </row>
    <row r="123" spans="1:15" x14ac:dyDescent="0.25">
      <c r="A123" s="18">
        <v>2</v>
      </c>
      <c r="B123" s="18" t="s">
        <v>235</v>
      </c>
      <c r="C123" s="18" t="s">
        <v>41</v>
      </c>
      <c r="D123" s="18"/>
      <c r="E123" s="19">
        <v>8.3333299999999999E-3</v>
      </c>
      <c r="F123" s="18" t="s">
        <v>49</v>
      </c>
      <c r="G123" s="19">
        <v>0.4</v>
      </c>
      <c r="H123" s="18" t="s">
        <v>49</v>
      </c>
      <c r="I123" s="19">
        <v>0.2</v>
      </c>
      <c r="J123" s="18" t="s">
        <v>53</v>
      </c>
      <c r="K123" s="19">
        <v>6.6666999999999996E-4</v>
      </c>
      <c r="L123" s="18"/>
      <c r="M123" s="20">
        <v>63.73</v>
      </c>
      <c r="N123" s="18"/>
      <c r="O123" s="19">
        <v>8.2982185742187486E-5</v>
      </c>
    </row>
    <row r="124" spans="1:15" x14ac:dyDescent="0.25">
      <c r="A124" s="21" t="s">
        <v>61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3">
        <v>1.141003498046875E-4</v>
      </c>
    </row>
    <row r="126" spans="1:15" x14ac:dyDescent="0.25">
      <c r="A126" s="26" t="s">
        <v>57</v>
      </c>
      <c r="B126" s="44" t="s">
        <v>248</v>
      </c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6"/>
    </row>
    <row r="127" spans="1:15" x14ac:dyDescent="0.25">
      <c r="A127" s="27" t="s">
        <v>214</v>
      </c>
      <c r="B127" s="41" t="s">
        <v>249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3"/>
    </row>
    <row r="129" spans="1:15" x14ac:dyDescent="0.25">
      <c r="A129" s="28">
        <v>2</v>
      </c>
      <c r="B129" s="28" t="s">
        <v>125</v>
      </c>
      <c r="C129" s="28" t="s">
        <v>242</v>
      </c>
      <c r="D129" s="28"/>
      <c r="E129" s="29">
        <v>1.5E-3</v>
      </c>
      <c r="F129" s="28" t="s">
        <v>49</v>
      </c>
      <c r="G129" s="29">
        <v>1</v>
      </c>
      <c r="H129" s="28" t="s">
        <v>49</v>
      </c>
      <c r="I129" s="29">
        <v>0.1</v>
      </c>
      <c r="J129" s="28" t="s">
        <v>53</v>
      </c>
      <c r="K129" s="29">
        <v>1.4999999999999999E-4</v>
      </c>
      <c r="L129" s="28"/>
      <c r="M129" s="30">
        <v>31.864999999999998</v>
      </c>
      <c r="N129" s="28"/>
      <c r="O129" s="29">
        <v>1.8670898437500001E-5</v>
      </c>
    </row>
    <row r="130" spans="1:15" x14ac:dyDescent="0.25">
      <c r="A130" s="18">
        <v>16</v>
      </c>
      <c r="B130" s="18" t="s">
        <v>60</v>
      </c>
      <c r="C130" s="18"/>
      <c r="D130" s="18"/>
      <c r="E130" s="19">
        <v>0.03</v>
      </c>
      <c r="F130" s="18" t="s">
        <v>49</v>
      </c>
      <c r="G130" s="19">
        <v>0.05</v>
      </c>
      <c r="H130" s="18" t="s">
        <v>49</v>
      </c>
      <c r="I130" s="19">
        <v>8.3333329999999997E-2</v>
      </c>
      <c r="J130" s="18" t="s">
        <v>53</v>
      </c>
      <c r="K130" s="19">
        <v>1.25E-4</v>
      </c>
      <c r="L130" s="18"/>
      <c r="M130" s="20">
        <v>10</v>
      </c>
      <c r="N130" s="18"/>
      <c r="O130" s="19">
        <v>5.8593750000000001E-6</v>
      </c>
    </row>
    <row r="131" spans="1:15" x14ac:dyDescent="0.25">
      <c r="A131" s="21" t="s">
        <v>61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3">
        <v>2.4530273437499999E-5</v>
      </c>
    </row>
    <row r="133" spans="1:15" x14ac:dyDescent="0.25">
      <c r="A133" s="26" t="s">
        <v>57</v>
      </c>
      <c r="B133" s="44" t="s">
        <v>250</v>
      </c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6"/>
    </row>
    <row r="134" spans="1:15" x14ac:dyDescent="0.25">
      <c r="A134" s="27" t="s">
        <v>214</v>
      </c>
      <c r="B134" s="41" t="s">
        <v>251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3"/>
    </row>
    <row r="136" spans="1:15" x14ac:dyDescent="0.25">
      <c r="A136" s="18">
        <v>28</v>
      </c>
      <c r="B136" s="18" t="s">
        <v>117</v>
      </c>
      <c r="C136" s="18"/>
      <c r="D136" s="18"/>
      <c r="E136" s="19">
        <v>3.3333330000000001E-2</v>
      </c>
      <c r="F136" s="18" t="s">
        <v>49</v>
      </c>
      <c r="G136" s="19">
        <v>0.38335000000000002</v>
      </c>
      <c r="H136" s="18" t="s">
        <v>49</v>
      </c>
      <c r="I136" s="19">
        <v>1</v>
      </c>
      <c r="J136" s="18" t="s">
        <v>53</v>
      </c>
      <c r="K136" s="19">
        <v>1.2778329999999999E-2</v>
      </c>
      <c r="L136" s="18"/>
      <c r="M136" s="20">
        <v>480</v>
      </c>
      <c r="N136" s="18"/>
      <c r="O136" s="19">
        <v>2.395936875E-3</v>
      </c>
    </row>
    <row r="137" spans="1:15" x14ac:dyDescent="0.25">
      <c r="A137" s="21" t="s">
        <v>61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3">
        <v>2.395936875E-3</v>
      </c>
    </row>
    <row r="139" spans="1:15" x14ac:dyDescent="0.25">
      <c r="A139" s="26" t="s">
        <v>57</v>
      </c>
      <c r="B139" s="44" t="s">
        <v>252</v>
      </c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6"/>
    </row>
    <row r="140" spans="1:15" x14ac:dyDescent="0.25">
      <c r="A140" s="27" t="s">
        <v>214</v>
      </c>
      <c r="B140" s="41" t="s">
        <v>68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3"/>
    </row>
    <row r="142" spans="1:15" x14ac:dyDescent="0.25">
      <c r="A142" s="18">
        <v>28</v>
      </c>
      <c r="B142" s="18" t="s">
        <v>117</v>
      </c>
      <c r="C142" s="18"/>
      <c r="D142" s="18"/>
      <c r="E142" s="19">
        <v>3.3333330000000001E-2</v>
      </c>
      <c r="F142" s="18" t="s">
        <v>49</v>
      </c>
      <c r="G142" s="19">
        <v>5.4999999999999997E-3</v>
      </c>
      <c r="H142" s="18" t="s">
        <v>49</v>
      </c>
      <c r="I142" s="19">
        <v>1</v>
      </c>
      <c r="J142" s="18" t="s">
        <v>53</v>
      </c>
      <c r="K142" s="19">
        <v>1.8332999999999999E-4</v>
      </c>
      <c r="L142" s="18"/>
      <c r="M142" s="20">
        <v>480</v>
      </c>
      <c r="N142" s="18"/>
      <c r="O142" s="19">
        <v>3.4374374999999999E-5</v>
      </c>
    </row>
    <row r="143" spans="1:15" x14ac:dyDescent="0.25">
      <c r="A143" s="21" t="s">
        <v>61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3">
        <v>3.4374374999999999E-5</v>
      </c>
    </row>
    <row r="145" spans="1:15" x14ac:dyDescent="0.25">
      <c r="A145" s="26" t="s">
        <v>57</v>
      </c>
      <c r="B145" s="44" t="s">
        <v>253</v>
      </c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6"/>
    </row>
    <row r="146" spans="1:15" x14ac:dyDescent="0.25">
      <c r="A146" s="27" t="s">
        <v>214</v>
      </c>
      <c r="B146" s="41" t="s">
        <v>68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3"/>
    </row>
    <row r="148" spans="1:15" x14ac:dyDescent="0.25">
      <c r="A148" s="28">
        <v>1</v>
      </c>
      <c r="B148" s="28" t="s">
        <v>126</v>
      </c>
      <c r="C148" s="28"/>
      <c r="D148" s="28"/>
      <c r="E148" s="29">
        <v>3.3333330000000001E-2</v>
      </c>
      <c r="F148" s="28" t="s">
        <v>49</v>
      </c>
      <c r="G148" s="29">
        <v>0.38335000000000002</v>
      </c>
      <c r="H148" s="28" t="s">
        <v>49</v>
      </c>
      <c r="I148" s="29">
        <v>1</v>
      </c>
      <c r="J148" s="28" t="s">
        <v>53</v>
      </c>
      <c r="K148" s="29">
        <v>1.2778329999999999E-2</v>
      </c>
      <c r="L148" s="28"/>
      <c r="M148" s="30">
        <v>1.35</v>
      </c>
      <c r="N148" s="28"/>
      <c r="O148" s="29">
        <v>6.7385724609375001E-6</v>
      </c>
    </row>
    <row r="149" spans="1:15" x14ac:dyDescent="0.25">
      <c r="A149" s="28">
        <v>1</v>
      </c>
      <c r="B149" s="28" t="s">
        <v>126</v>
      </c>
      <c r="C149" s="28"/>
      <c r="D149" s="28"/>
      <c r="E149" s="29">
        <v>3.3333330000000001E-2</v>
      </c>
      <c r="F149" s="28" t="s">
        <v>49</v>
      </c>
      <c r="G149" s="29">
        <v>5.4999999999999997E-3</v>
      </c>
      <c r="H149" s="28" t="s">
        <v>49</v>
      </c>
      <c r="I149" s="29">
        <v>1</v>
      </c>
      <c r="J149" s="28" t="s">
        <v>53</v>
      </c>
      <c r="K149" s="29">
        <v>1.8332999999999999E-4</v>
      </c>
      <c r="L149" s="28"/>
      <c r="M149" s="30">
        <v>1.35</v>
      </c>
      <c r="N149" s="28"/>
      <c r="O149" s="29">
        <v>9.6677929687500004E-8</v>
      </c>
    </row>
    <row r="150" spans="1:15" x14ac:dyDescent="0.25">
      <c r="A150" s="28">
        <v>2</v>
      </c>
      <c r="B150" s="28" t="s">
        <v>226</v>
      </c>
      <c r="C150" s="28"/>
      <c r="D150" s="28"/>
      <c r="E150" s="29">
        <v>3.3333330000000001E-2</v>
      </c>
      <c r="F150" s="28" t="s">
        <v>49</v>
      </c>
      <c r="G150" s="29">
        <v>0.38335000000000002</v>
      </c>
      <c r="H150" s="28" t="s">
        <v>49</v>
      </c>
      <c r="I150" s="29">
        <v>0.52500000000000002</v>
      </c>
      <c r="J150" s="28" t="s">
        <v>53</v>
      </c>
      <c r="K150" s="29">
        <v>6.7086200000000002E-3</v>
      </c>
      <c r="L150" s="28"/>
      <c r="M150" s="30">
        <v>167.29124999999999</v>
      </c>
      <c r="N150" s="28"/>
      <c r="O150" s="29">
        <v>8.3503975117187501E-4</v>
      </c>
    </row>
    <row r="151" spans="1:15" x14ac:dyDescent="0.25">
      <c r="A151" s="28">
        <v>2</v>
      </c>
      <c r="B151" s="28" t="s">
        <v>29</v>
      </c>
      <c r="C151" s="28"/>
      <c r="D151" s="28"/>
      <c r="E151" s="29">
        <v>0.05</v>
      </c>
      <c r="F151" s="28" t="s">
        <v>49</v>
      </c>
      <c r="G151" s="29">
        <v>0.38335000000000002</v>
      </c>
      <c r="H151" s="28" t="s">
        <v>49</v>
      </c>
      <c r="I151" s="29">
        <v>0.1</v>
      </c>
      <c r="J151" s="28" t="s">
        <v>53</v>
      </c>
      <c r="K151" s="29">
        <v>1.9167500000000001E-3</v>
      </c>
      <c r="L151" s="28"/>
      <c r="M151" s="30">
        <v>31.864999999999998</v>
      </c>
      <c r="N151" s="28"/>
      <c r="O151" s="29">
        <v>2.3858296386718749E-4</v>
      </c>
    </row>
    <row r="152" spans="1:15" x14ac:dyDescent="0.25">
      <c r="A152" s="28">
        <v>2</v>
      </c>
      <c r="B152" s="28" t="s">
        <v>226</v>
      </c>
      <c r="C152" s="28"/>
      <c r="D152" s="28"/>
      <c r="E152" s="29">
        <v>3.3333330000000001E-2</v>
      </c>
      <c r="F152" s="28" t="s">
        <v>49</v>
      </c>
      <c r="G152" s="29">
        <v>5.4999999999999997E-3</v>
      </c>
      <c r="H152" s="28" t="s">
        <v>49</v>
      </c>
      <c r="I152" s="29">
        <v>0.52500000000000002</v>
      </c>
      <c r="J152" s="28" t="s">
        <v>53</v>
      </c>
      <c r="K152" s="29">
        <v>9.6249999999999995E-5</v>
      </c>
      <c r="L152" s="28"/>
      <c r="M152" s="30">
        <v>167.29124999999999</v>
      </c>
      <c r="N152" s="28"/>
      <c r="O152" s="29">
        <v>1.19804931640625E-5</v>
      </c>
    </row>
    <row r="153" spans="1:15" x14ac:dyDescent="0.25">
      <c r="A153" s="28">
        <v>2</v>
      </c>
      <c r="B153" s="28" t="s">
        <v>29</v>
      </c>
      <c r="C153" s="28"/>
      <c r="D153" s="28"/>
      <c r="E153" s="29">
        <v>0.05</v>
      </c>
      <c r="F153" s="28" t="s">
        <v>49</v>
      </c>
      <c r="G153" s="29">
        <v>5.4999999999999997E-3</v>
      </c>
      <c r="H153" s="28" t="s">
        <v>49</v>
      </c>
      <c r="I153" s="29">
        <v>0.1</v>
      </c>
      <c r="J153" s="28" t="s">
        <v>53</v>
      </c>
      <c r="K153" s="29">
        <v>2.7500000000000001E-5</v>
      </c>
      <c r="L153" s="28"/>
      <c r="M153" s="30">
        <v>31.864999999999998</v>
      </c>
      <c r="N153" s="28"/>
      <c r="O153" s="29">
        <v>3.4229980468749998E-6</v>
      </c>
    </row>
    <row r="154" spans="1:15" x14ac:dyDescent="0.25">
      <c r="A154" s="28">
        <v>3</v>
      </c>
      <c r="B154" s="28" t="s">
        <v>21</v>
      </c>
      <c r="C154" s="28"/>
      <c r="D154" s="28"/>
      <c r="E154" s="29">
        <v>3.3333330000000001E-2</v>
      </c>
      <c r="F154" s="28" t="s">
        <v>49</v>
      </c>
      <c r="G154" s="29">
        <v>0.38335000000000002</v>
      </c>
      <c r="H154" s="28" t="s">
        <v>49</v>
      </c>
      <c r="I154" s="29">
        <v>6.25E-2</v>
      </c>
      <c r="J154" s="28" t="s">
        <v>53</v>
      </c>
      <c r="K154" s="29">
        <v>7.9865000000000003E-4</v>
      </c>
      <c r="L154" s="28"/>
      <c r="M154" s="30">
        <v>15</v>
      </c>
      <c r="N154" s="28"/>
      <c r="O154" s="29">
        <v>7.48734375E-5</v>
      </c>
    </row>
    <row r="155" spans="1:15" x14ac:dyDescent="0.25">
      <c r="A155" s="28">
        <v>3</v>
      </c>
      <c r="B155" s="28" t="s">
        <v>19</v>
      </c>
      <c r="C155" s="28"/>
      <c r="D155" s="28"/>
      <c r="E155" s="29">
        <v>3.3333330000000001E-2</v>
      </c>
      <c r="F155" s="28" t="s">
        <v>49</v>
      </c>
      <c r="G155" s="29">
        <v>5.4999999999999997E-3</v>
      </c>
      <c r="H155" s="28" t="s">
        <v>49</v>
      </c>
      <c r="I155" s="29">
        <v>0.125</v>
      </c>
      <c r="J155" s="28" t="s">
        <v>53</v>
      </c>
      <c r="K155" s="29">
        <v>2.2920000000000001E-5</v>
      </c>
      <c r="L155" s="28"/>
      <c r="M155" s="30">
        <v>30</v>
      </c>
      <c r="N155" s="28"/>
      <c r="O155" s="29">
        <v>2.14875E-6</v>
      </c>
    </row>
    <row r="156" spans="1:15" x14ac:dyDescent="0.25">
      <c r="A156" s="28">
        <v>3</v>
      </c>
      <c r="B156" s="28" t="s">
        <v>207</v>
      </c>
      <c r="C156" s="28" t="s">
        <v>35</v>
      </c>
      <c r="D156" s="28"/>
      <c r="E156" s="29">
        <v>0.05</v>
      </c>
      <c r="F156" s="28" t="s">
        <v>49</v>
      </c>
      <c r="G156" s="29">
        <v>5.4999999999999997E-3</v>
      </c>
      <c r="H156" s="28" t="s">
        <v>49</v>
      </c>
      <c r="I156" s="29">
        <v>0.125</v>
      </c>
      <c r="J156" s="28" t="s">
        <v>53</v>
      </c>
      <c r="K156" s="29">
        <v>3.4379999999999999E-5</v>
      </c>
      <c r="L156" s="28"/>
      <c r="M156" s="30">
        <v>30</v>
      </c>
      <c r="N156" s="28"/>
      <c r="O156" s="29">
        <v>3.2231250000000002E-6</v>
      </c>
    </row>
    <row r="157" spans="1:15" x14ac:dyDescent="0.25">
      <c r="A157" s="28">
        <v>3</v>
      </c>
      <c r="B157" s="28" t="s">
        <v>174</v>
      </c>
      <c r="C157" s="28" t="s">
        <v>35</v>
      </c>
      <c r="D157" s="28"/>
      <c r="E157" s="29">
        <v>0.05</v>
      </c>
      <c r="F157" s="28" t="s">
        <v>49</v>
      </c>
      <c r="G157" s="29">
        <v>5.4999999999999997E-3</v>
      </c>
      <c r="H157" s="28" t="s">
        <v>49</v>
      </c>
      <c r="I157" s="29">
        <v>0.125</v>
      </c>
      <c r="J157" s="28" t="s">
        <v>53</v>
      </c>
      <c r="K157" s="29">
        <v>3.4379999999999999E-5</v>
      </c>
      <c r="L157" s="28"/>
      <c r="M157" s="30">
        <v>30</v>
      </c>
      <c r="N157" s="28"/>
      <c r="O157" s="29">
        <v>3.2231250000000002E-6</v>
      </c>
    </row>
    <row r="158" spans="1:15" x14ac:dyDescent="0.25">
      <c r="A158" s="28">
        <v>3</v>
      </c>
      <c r="B158" s="28" t="s">
        <v>88</v>
      </c>
      <c r="C158" s="28"/>
      <c r="D158" s="28"/>
      <c r="E158" s="29">
        <v>3.3333330000000001E-2</v>
      </c>
      <c r="F158" s="28" t="s">
        <v>49</v>
      </c>
      <c r="G158" s="29">
        <v>5.4999999999999997E-3</v>
      </c>
      <c r="H158" s="28" t="s">
        <v>49</v>
      </c>
      <c r="I158" s="29">
        <v>0.16666666999999999</v>
      </c>
      <c r="J158" s="28" t="s">
        <v>53</v>
      </c>
      <c r="K158" s="29">
        <v>3.0559999999999999E-5</v>
      </c>
      <c r="L158" s="28"/>
      <c r="M158" s="30">
        <v>40.000000999999997</v>
      </c>
      <c r="N158" s="28"/>
      <c r="O158" s="29">
        <v>2.8650000000000001E-6</v>
      </c>
    </row>
    <row r="159" spans="1:15" x14ac:dyDescent="0.25">
      <c r="A159" s="28">
        <v>3</v>
      </c>
      <c r="B159" s="28" t="s">
        <v>21</v>
      </c>
      <c r="C159" s="28"/>
      <c r="D159" s="28"/>
      <c r="E159" s="29">
        <v>3.3333330000000001E-2</v>
      </c>
      <c r="F159" s="28" t="s">
        <v>49</v>
      </c>
      <c r="G159" s="29">
        <v>5.4999999999999997E-3</v>
      </c>
      <c r="H159" s="28" t="s">
        <v>49</v>
      </c>
      <c r="I159" s="29">
        <v>6.25E-2</v>
      </c>
      <c r="J159" s="28" t="s">
        <v>53</v>
      </c>
      <c r="K159" s="29">
        <v>1.146E-5</v>
      </c>
      <c r="L159" s="28"/>
      <c r="M159" s="30">
        <v>15</v>
      </c>
      <c r="N159" s="28"/>
      <c r="O159" s="29">
        <v>1.074375E-6</v>
      </c>
    </row>
    <row r="160" spans="1:15" x14ac:dyDescent="0.25">
      <c r="A160" s="28">
        <v>3</v>
      </c>
      <c r="B160" s="28" t="s">
        <v>23</v>
      </c>
      <c r="C160" s="28"/>
      <c r="D160" s="28"/>
      <c r="E160" s="29">
        <v>3.3333330000000001E-2</v>
      </c>
      <c r="F160" s="28" t="s">
        <v>49</v>
      </c>
      <c r="G160" s="29">
        <v>0.38335000000000002</v>
      </c>
      <c r="H160" s="28" t="s">
        <v>49</v>
      </c>
      <c r="I160" s="29">
        <v>6.25E-2</v>
      </c>
      <c r="J160" s="28" t="s">
        <v>53</v>
      </c>
      <c r="K160" s="29">
        <v>7.9865000000000003E-4</v>
      </c>
      <c r="L160" s="28"/>
      <c r="M160" s="30">
        <v>15</v>
      </c>
      <c r="N160" s="28"/>
      <c r="O160" s="29">
        <v>7.48734375E-5</v>
      </c>
    </row>
    <row r="161" spans="1:15" x14ac:dyDescent="0.25">
      <c r="A161" s="28">
        <v>3</v>
      </c>
      <c r="B161" s="28" t="s">
        <v>23</v>
      </c>
      <c r="C161" s="28"/>
      <c r="D161" s="28"/>
      <c r="E161" s="29">
        <v>3.3333330000000001E-2</v>
      </c>
      <c r="F161" s="28" t="s">
        <v>49</v>
      </c>
      <c r="G161" s="29">
        <v>5.4999999999999997E-3</v>
      </c>
      <c r="H161" s="28" t="s">
        <v>49</v>
      </c>
      <c r="I161" s="29">
        <v>6.25E-2</v>
      </c>
      <c r="J161" s="28" t="s">
        <v>53</v>
      </c>
      <c r="K161" s="29">
        <v>1.146E-5</v>
      </c>
      <c r="L161" s="28"/>
      <c r="M161" s="30">
        <v>15</v>
      </c>
      <c r="N161" s="28"/>
      <c r="O161" s="29">
        <v>1.074375E-6</v>
      </c>
    </row>
    <row r="162" spans="1:15" x14ac:dyDescent="0.25">
      <c r="A162" s="28">
        <v>3</v>
      </c>
      <c r="B162" s="28" t="s">
        <v>25</v>
      </c>
      <c r="C162" s="28"/>
      <c r="D162" s="28"/>
      <c r="E162" s="29">
        <v>3.3333330000000001E-2</v>
      </c>
      <c r="F162" s="28" t="s">
        <v>49</v>
      </c>
      <c r="G162" s="29">
        <v>0.38335000000000002</v>
      </c>
      <c r="H162" s="28" t="s">
        <v>49</v>
      </c>
      <c r="I162" s="29">
        <v>0.16666666999999999</v>
      </c>
      <c r="J162" s="28" t="s">
        <v>53</v>
      </c>
      <c r="K162" s="29">
        <v>2.1297199999999999E-3</v>
      </c>
      <c r="L162" s="28"/>
      <c r="M162" s="30">
        <v>40.000000999999997</v>
      </c>
      <c r="N162" s="28"/>
      <c r="O162" s="29">
        <v>1.9966124999999999E-4</v>
      </c>
    </row>
    <row r="163" spans="1:15" x14ac:dyDescent="0.25">
      <c r="A163" s="28">
        <v>3</v>
      </c>
      <c r="B163" s="28" t="s">
        <v>207</v>
      </c>
      <c r="C163" s="28" t="s">
        <v>35</v>
      </c>
      <c r="D163" s="28"/>
      <c r="E163" s="29">
        <v>0.05</v>
      </c>
      <c r="F163" s="28" t="s">
        <v>49</v>
      </c>
      <c r="G163" s="29">
        <v>0.38335000000000002</v>
      </c>
      <c r="H163" s="28" t="s">
        <v>49</v>
      </c>
      <c r="I163" s="29">
        <v>0.125</v>
      </c>
      <c r="J163" s="28" t="s">
        <v>53</v>
      </c>
      <c r="K163" s="29">
        <v>2.39594E-3</v>
      </c>
      <c r="L163" s="28"/>
      <c r="M163" s="30">
        <v>30</v>
      </c>
      <c r="N163" s="28"/>
      <c r="O163" s="29">
        <v>2.24619375E-4</v>
      </c>
    </row>
    <row r="164" spans="1:15" x14ac:dyDescent="0.25">
      <c r="A164" s="28">
        <v>3</v>
      </c>
      <c r="B164" s="28" t="s">
        <v>87</v>
      </c>
      <c r="C164" s="28"/>
      <c r="D164" s="28"/>
      <c r="E164" s="29">
        <v>3.3333330000000001E-2</v>
      </c>
      <c r="F164" s="28" t="s">
        <v>49</v>
      </c>
      <c r="G164" s="29">
        <v>0.38335000000000002</v>
      </c>
      <c r="H164" s="28" t="s">
        <v>49</v>
      </c>
      <c r="I164" s="29">
        <v>0.16666666999999999</v>
      </c>
      <c r="J164" s="28" t="s">
        <v>53</v>
      </c>
      <c r="K164" s="29">
        <v>2.1297199999999999E-3</v>
      </c>
      <c r="L164" s="28"/>
      <c r="M164" s="30">
        <v>40.000000999999997</v>
      </c>
      <c r="N164" s="28"/>
      <c r="O164" s="29">
        <v>1.9966124999999999E-4</v>
      </c>
    </row>
    <row r="165" spans="1:15" x14ac:dyDescent="0.25">
      <c r="A165" s="28">
        <v>3</v>
      </c>
      <c r="B165" s="28" t="s">
        <v>87</v>
      </c>
      <c r="C165" s="28"/>
      <c r="D165" s="28"/>
      <c r="E165" s="29">
        <v>3.3333330000000001E-2</v>
      </c>
      <c r="F165" s="28" t="s">
        <v>49</v>
      </c>
      <c r="G165" s="29">
        <v>5.4999999999999997E-3</v>
      </c>
      <c r="H165" s="28" t="s">
        <v>49</v>
      </c>
      <c r="I165" s="29">
        <v>0.16666666999999999</v>
      </c>
      <c r="J165" s="28" t="s">
        <v>53</v>
      </c>
      <c r="K165" s="29">
        <v>3.0559999999999999E-5</v>
      </c>
      <c r="L165" s="28"/>
      <c r="M165" s="30">
        <v>40.000000999999997</v>
      </c>
      <c r="N165" s="28"/>
      <c r="O165" s="29">
        <v>2.8650000000000001E-6</v>
      </c>
    </row>
    <row r="166" spans="1:15" x14ac:dyDescent="0.25">
      <c r="A166" s="28">
        <v>3</v>
      </c>
      <c r="B166" s="28" t="s">
        <v>174</v>
      </c>
      <c r="C166" s="28" t="s">
        <v>35</v>
      </c>
      <c r="D166" s="28"/>
      <c r="E166" s="29">
        <v>0.05</v>
      </c>
      <c r="F166" s="28" t="s">
        <v>49</v>
      </c>
      <c r="G166" s="29">
        <v>0.38335000000000002</v>
      </c>
      <c r="H166" s="28" t="s">
        <v>49</v>
      </c>
      <c r="I166" s="29">
        <v>0.125</v>
      </c>
      <c r="J166" s="28" t="s">
        <v>53</v>
      </c>
      <c r="K166" s="29">
        <v>2.39594E-3</v>
      </c>
      <c r="L166" s="28"/>
      <c r="M166" s="30">
        <v>30</v>
      </c>
      <c r="N166" s="28"/>
      <c r="O166" s="29">
        <v>2.24619375E-4</v>
      </c>
    </row>
    <row r="167" spans="1:15" x14ac:dyDescent="0.25">
      <c r="A167" s="28">
        <v>3</v>
      </c>
      <c r="B167" s="28" t="s">
        <v>88</v>
      </c>
      <c r="C167" s="28"/>
      <c r="D167" s="28"/>
      <c r="E167" s="29">
        <v>3.3333330000000001E-2</v>
      </c>
      <c r="F167" s="28" t="s">
        <v>49</v>
      </c>
      <c r="G167" s="29">
        <v>0.38335000000000002</v>
      </c>
      <c r="H167" s="28" t="s">
        <v>49</v>
      </c>
      <c r="I167" s="29">
        <v>0.16666666999999999</v>
      </c>
      <c r="J167" s="28" t="s">
        <v>53</v>
      </c>
      <c r="K167" s="29">
        <v>2.1297199999999999E-3</v>
      </c>
      <c r="L167" s="28"/>
      <c r="M167" s="30">
        <v>40.000000999999997</v>
      </c>
      <c r="N167" s="28"/>
      <c r="O167" s="29">
        <v>1.9966124999999999E-4</v>
      </c>
    </row>
    <row r="168" spans="1:15" x14ac:dyDescent="0.25">
      <c r="A168" s="28">
        <v>3</v>
      </c>
      <c r="B168" s="28" t="s">
        <v>25</v>
      </c>
      <c r="C168" s="28"/>
      <c r="D168" s="28"/>
      <c r="E168" s="29">
        <v>3.3333330000000001E-2</v>
      </c>
      <c r="F168" s="28" t="s">
        <v>49</v>
      </c>
      <c r="G168" s="29">
        <v>5.4999999999999997E-3</v>
      </c>
      <c r="H168" s="28" t="s">
        <v>49</v>
      </c>
      <c r="I168" s="29">
        <v>0.16666666999999999</v>
      </c>
      <c r="J168" s="28" t="s">
        <v>53</v>
      </c>
      <c r="K168" s="29">
        <v>3.0559999999999999E-5</v>
      </c>
      <c r="L168" s="28"/>
      <c r="M168" s="30">
        <v>40.000000999999997</v>
      </c>
      <c r="N168" s="28"/>
      <c r="O168" s="29">
        <v>2.8650000000000001E-6</v>
      </c>
    </row>
    <row r="169" spans="1:15" x14ac:dyDescent="0.25">
      <c r="A169" s="28">
        <v>3</v>
      </c>
      <c r="B169" s="28" t="s">
        <v>19</v>
      </c>
      <c r="C169" s="28"/>
      <c r="D169" s="28"/>
      <c r="E169" s="29">
        <v>3.3333330000000001E-2</v>
      </c>
      <c r="F169" s="28" t="s">
        <v>49</v>
      </c>
      <c r="G169" s="29">
        <v>0.38335000000000002</v>
      </c>
      <c r="H169" s="28" t="s">
        <v>49</v>
      </c>
      <c r="I169" s="29">
        <v>0.125</v>
      </c>
      <c r="J169" s="28" t="s">
        <v>53</v>
      </c>
      <c r="K169" s="29">
        <v>1.5972899999999999E-3</v>
      </c>
      <c r="L169" s="28"/>
      <c r="M169" s="30">
        <v>30</v>
      </c>
      <c r="N169" s="28"/>
      <c r="O169" s="29">
        <v>1.497459375E-4</v>
      </c>
    </row>
    <row r="170" spans="1:15" x14ac:dyDescent="0.25">
      <c r="A170" s="28">
        <v>4</v>
      </c>
      <c r="B170" s="28" t="s">
        <v>199</v>
      </c>
      <c r="C170" s="28"/>
      <c r="D170" s="28"/>
      <c r="E170" s="29">
        <v>3.3333330000000001E-2</v>
      </c>
      <c r="F170" s="28" t="s">
        <v>49</v>
      </c>
      <c r="G170" s="29">
        <v>0.38335000000000002</v>
      </c>
      <c r="H170" s="28" t="s">
        <v>49</v>
      </c>
      <c r="I170" s="29">
        <v>1</v>
      </c>
      <c r="J170" s="28" t="s">
        <v>53</v>
      </c>
      <c r="K170" s="29">
        <v>1.2778329999999999E-2</v>
      </c>
      <c r="L170" s="28"/>
      <c r="M170" s="30">
        <v>80</v>
      </c>
      <c r="N170" s="28"/>
      <c r="O170" s="29">
        <v>3.9932281249999998E-4</v>
      </c>
    </row>
    <row r="171" spans="1:15" x14ac:dyDescent="0.25">
      <c r="A171" s="28">
        <v>4</v>
      </c>
      <c r="B171" s="28" t="s">
        <v>199</v>
      </c>
      <c r="C171" s="28"/>
      <c r="D171" s="28"/>
      <c r="E171" s="29">
        <v>3.3333330000000001E-2</v>
      </c>
      <c r="F171" s="28" t="s">
        <v>49</v>
      </c>
      <c r="G171" s="29">
        <v>5.4999999999999997E-3</v>
      </c>
      <c r="H171" s="28" t="s">
        <v>49</v>
      </c>
      <c r="I171" s="29">
        <v>1</v>
      </c>
      <c r="J171" s="28" t="s">
        <v>53</v>
      </c>
      <c r="K171" s="29">
        <v>1.8332999999999999E-4</v>
      </c>
      <c r="L171" s="28"/>
      <c r="M171" s="30">
        <v>80</v>
      </c>
      <c r="N171" s="28"/>
      <c r="O171" s="29">
        <v>5.7290624999999998E-6</v>
      </c>
    </row>
    <row r="172" spans="1:15" x14ac:dyDescent="0.25">
      <c r="A172" s="28">
        <v>14</v>
      </c>
      <c r="B172" s="28" t="s">
        <v>140</v>
      </c>
      <c r="C172" s="28"/>
      <c r="D172" s="28"/>
      <c r="E172" s="29">
        <v>0.05</v>
      </c>
      <c r="F172" s="28" t="s">
        <v>49</v>
      </c>
      <c r="G172" s="29">
        <v>0.38125318000000002</v>
      </c>
      <c r="H172" s="28" t="s">
        <v>49</v>
      </c>
      <c r="I172" s="29">
        <v>1</v>
      </c>
      <c r="J172" s="28" t="s">
        <v>53</v>
      </c>
      <c r="K172" s="29">
        <v>1.9062659999999999E-2</v>
      </c>
      <c r="L172" s="28"/>
      <c r="M172" s="30">
        <v>240</v>
      </c>
      <c r="N172" s="28"/>
      <c r="O172" s="29">
        <v>1.787124375E-3</v>
      </c>
    </row>
    <row r="173" spans="1:15" x14ac:dyDescent="0.25">
      <c r="A173" s="28">
        <v>15</v>
      </c>
      <c r="B173" s="28" t="s">
        <v>227</v>
      </c>
      <c r="C173" s="28"/>
      <c r="D173" s="28"/>
      <c r="E173" s="29">
        <v>0.05</v>
      </c>
      <c r="F173" s="28" t="s">
        <v>49</v>
      </c>
      <c r="G173" s="29">
        <v>0.38125318000000002</v>
      </c>
      <c r="H173" s="28" t="s">
        <v>49</v>
      </c>
      <c r="I173" s="29">
        <v>1</v>
      </c>
      <c r="J173" s="28" t="s">
        <v>53</v>
      </c>
      <c r="K173" s="29">
        <v>1.9062659999999999E-2</v>
      </c>
      <c r="L173" s="28"/>
      <c r="M173" s="30">
        <v>40</v>
      </c>
      <c r="N173" s="28"/>
      <c r="O173" s="29">
        <v>2.9785406249999998E-4</v>
      </c>
    </row>
    <row r="174" spans="1:15" x14ac:dyDescent="0.25">
      <c r="A174" s="28">
        <v>16</v>
      </c>
      <c r="B174" s="28" t="s">
        <v>228</v>
      </c>
      <c r="C174" s="28"/>
      <c r="D174" s="28"/>
      <c r="E174" s="29">
        <v>0.05</v>
      </c>
      <c r="F174" s="28" t="s">
        <v>49</v>
      </c>
      <c r="G174" s="29">
        <v>0.38125318000000002</v>
      </c>
      <c r="H174" s="28" t="s">
        <v>49</v>
      </c>
      <c r="I174" s="29">
        <v>0.33333332999999998</v>
      </c>
      <c r="J174" s="28" t="s">
        <v>53</v>
      </c>
      <c r="K174" s="29">
        <v>6.3542199999999998E-3</v>
      </c>
      <c r="L174" s="28"/>
      <c r="M174" s="30">
        <v>40</v>
      </c>
      <c r="N174" s="28"/>
      <c r="O174" s="29">
        <v>2.9785406249999998E-4</v>
      </c>
    </row>
    <row r="175" spans="1:15" x14ac:dyDescent="0.25">
      <c r="A175" s="28">
        <v>16</v>
      </c>
      <c r="B175" s="28" t="s">
        <v>60</v>
      </c>
      <c r="C175" s="28"/>
      <c r="D175" s="28"/>
      <c r="E175" s="29">
        <v>0.02</v>
      </c>
      <c r="F175" s="28" t="s">
        <v>49</v>
      </c>
      <c r="G175" s="29">
        <v>0.38125318000000002</v>
      </c>
      <c r="H175" s="28" t="s">
        <v>49</v>
      </c>
      <c r="I175" s="29">
        <v>8.3333329999999997E-2</v>
      </c>
      <c r="J175" s="28" t="s">
        <v>53</v>
      </c>
      <c r="K175" s="29">
        <v>6.3542000000000004E-4</v>
      </c>
      <c r="L175" s="28"/>
      <c r="M175" s="30">
        <v>10</v>
      </c>
      <c r="N175" s="28"/>
      <c r="O175" s="29">
        <v>2.9785312499999998E-5</v>
      </c>
    </row>
    <row r="176" spans="1:15" x14ac:dyDescent="0.25">
      <c r="A176" s="28">
        <v>17</v>
      </c>
      <c r="B176" s="28" t="s">
        <v>9</v>
      </c>
      <c r="C176" s="28"/>
      <c r="D176" s="28"/>
      <c r="E176" s="29">
        <v>0.05</v>
      </c>
      <c r="F176" s="28" t="s">
        <v>49</v>
      </c>
      <c r="G176" s="29">
        <v>0.38125318000000002</v>
      </c>
      <c r="H176" s="28" t="s">
        <v>49</v>
      </c>
      <c r="I176" s="29">
        <v>1</v>
      </c>
      <c r="J176" s="28" t="s">
        <v>53</v>
      </c>
      <c r="K176" s="29">
        <v>1.9062659999999999E-2</v>
      </c>
      <c r="L176" s="28"/>
      <c r="M176" s="30">
        <v>240</v>
      </c>
      <c r="N176" s="28"/>
      <c r="O176" s="29">
        <v>1.787124375E-3</v>
      </c>
    </row>
    <row r="177" spans="1:15" x14ac:dyDescent="0.25">
      <c r="A177" s="28">
        <v>18</v>
      </c>
      <c r="B177" s="28" t="s">
        <v>229</v>
      </c>
      <c r="C177" s="28"/>
      <c r="D177" s="28"/>
      <c r="E177" s="29">
        <v>0.05</v>
      </c>
      <c r="F177" s="28" t="s">
        <v>49</v>
      </c>
      <c r="G177" s="29">
        <v>0.38125318000000002</v>
      </c>
      <c r="H177" s="28" t="s">
        <v>49</v>
      </c>
      <c r="I177" s="29">
        <v>1</v>
      </c>
      <c r="J177" s="28" t="s">
        <v>53</v>
      </c>
      <c r="K177" s="29">
        <v>1.9062659999999999E-2</v>
      </c>
      <c r="L177" s="28"/>
      <c r="M177" s="30">
        <v>320</v>
      </c>
      <c r="N177" s="28"/>
      <c r="O177" s="29">
        <v>2.3828324999999998E-3</v>
      </c>
    </row>
    <row r="178" spans="1:15" x14ac:dyDescent="0.25">
      <c r="A178" s="28">
        <v>19</v>
      </c>
      <c r="B178" s="28" t="s">
        <v>216</v>
      </c>
      <c r="C178" s="28"/>
      <c r="D178" s="28"/>
      <c r="E178" s="29">
        <v>3.3333330000000001E-2</v>
      </c>
      <c r="F178" s="28" t="s">
        <v>49</v>
      </c>
      <c r="G178" s="29">
        <v>0.38125318000000002</v>
      </c>
      <c r="H178" s="28" t="s">
        <v>49</v>
      </c>
      <c r="I178" s="29">
        <v>1</v>
      </c>
      <c r="J178" s="28" t="s">
        <v>53</v>
      </c>
      <c r="K178" s="29">
        <v>1.270844E-2</v>
      </c>
      <c r="L178" s="28"/>
      <c r="M178" s="30">
        <v>160</v>
      </c>
      <c r="N178" s="28"/>
      <c r="O178" s="29">
        <v>7.9427749999999998E-4</v>
      </c>
    </row>
    <row r="179" spans="1:15" x14ac:dyDescent="0.25">
      <c r="A179" s="18">
        <v>20</v>
      </c>
      <c r="B179" s="18" t="s">
        <v>230</v>
      </c>
      <c r="C179" s="18"/>
      <c r="D179" s="18"/>
      <c r="E179" s="19">
        <v>0.05</v>
      </c>
      <c r="F179" s="18" t="s">
        <v>49</v>
      </c>
      <c r="G179" s="19">
        <v>0.38125318000000002</v>
      </c>
      <c r="H179" s="18" t="s">
        <v>49</v>
      </c>
      <c r="I179" s="19">
        <v>1</v>
      </c>
      <c r="J179" s="18" t="s">
        <v>53</v>
      </c>
      <c r="K179" s="19">
        <v>1.9062659999999999E-2</v>
      </c>
      <c r="L179" s="18"/>
      <c r="M179" s="20">
        <v>160</v>
      </c>
      <c r="N179" s="18"/>
      <c r="O179" s="19">
        <v>1.1914162499999999E-3</v>
      </c>
    </row>
    <row r="180" spans="1:15" x14ac:dyDescent="0.25">
      <c r="A180" s="21" t="s">
        <v>61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3">
        <v>1.143623583164062E-2</v>
      </c>
    </row>
    <row r="182" spans="1:15" x14ac:dyDescent="0.25">
      <c r="A182" s="26" t="s">
        <v>57</v>
      </c>
      <c r="B182" s="44" t="s">
        <v>254</v>
      </c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6"/>
    </row>
    <row r="183" spans="1:15" x14ac:dyDescent="0.25">
      <c r="A183" s="27" t="s">
        <v>214</v>
      </c>
      <c r="B183" s="41" t="s">
        <v>68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3"/>
    </row>
    <row r="185" spans="1:15" x14ac:dyDescent="0.25">
      <c r="A185" s="28">
        <v>2</v>
      </c>
      <c r="B185" s="28" t="s">
        <v>31</v>
      </c>
      <c r="C185" s="28"/>
      <c r="D185" s="28"/>
      <c r="E185" s="29">
        <v>8.3333299999999999E-3</v>
      </c>
      <c r="F185" s="28" t="s">
        <v>49</v>
      </c>
      <c r="G185" s="29">
        <v>0.59399999999999997</v>
      </c>
      <c r="H185" s="28" t="s">
        <v>49</v>
      </c>
      <c r="I185" s="29">
        <v>7.4999999999999997E-2</v>
      </c>
      <c r="J185" s="28" t="s">
        <v>53</v>
      </c>
      <c r="K185" s="29">
        <v>3.7125E-4</v>
      </c>
      <c r="L185" s="28"/>
      <c r="M185" s="30">
        <v>23.89875</v>
      </c>
      <c r="N185" s="28"/>
      <c r="O185" s="29">
        <v>4.6210473632812488E-5</v>
      </c>
    </row>
    <row r="186" spans="1:15" x14ac:dyDescent="0.25">
      <c r="A186" s="18">
        <v>2</v>
      </c>
      <c r="B186" s="18" t="s">
        <v>235</v>
      </c>
      <c r="C186" s="18" t="s">
        <v>41</v>
      </c>
      <c r="D186" s="18"/>
      <c r="E186" s="19">
        <v>8.3333299999999999E-3</v>
      </c>
      <c r="F186" s="18" t="s">
        <v>49</v>
      </c>
      <c r="G186" s="19">
        <v>0.59399999999999997</v>
      </c>
      <c r="H186" s="18" t="s">
        <v>49</v>
      </c>
      <c r="I186" s="19">
        <v>0.2</v>
      </c>
      <c r="J186" s="18" t="s">
        <v>53</v>
      </c>
      <c r="K186" s="19">
        <v>9.8999999999999999E-4</v>
      </c>
      <c r="L186" s="18"/>
      <c r="M186" s="20">
        <v>63.73</v>
      </c>
      <c r="N186" s="18"/>
      <c r="O186" s="19">
        <v>1.232279296875E-4</v>
      </c>
    </row>
    <row r="187" spans="1:15" x14ac:dyDescent="0.25">
      <c r="A187" s="21" t="s">
        <v>61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3">
        <v>1.694384033203125E-4</v>
      </c>
    </row>
    <row r="189" spans="1:15" x14ac:dyDescent="0.25">
      <c r="A189" s="26" t="s">
        <v>57</v>
      </c>
      <c r="B189" s="44" t="s">
        <v>255</v>
      </c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6"/>
    </row>
    <row r="190" spans="1:15" x14ac:dyDescent="0.25">
      <c r="A190" s="27" t="s">
        <v>214</v>
      </c>
      <c r="B190" s="41" t="s">
        <v>68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3"/>
    </row>
    <row r="192" spans="1:15" x14ac:dyDescent="0.25">
      <c r="A192" s="28">
        <v>1</v>
      </c>
      <c r="B192" s="28" t="s">
        <v>126</v>
      </c>
      <c r="C192" s="28"/>
      <c r="D192" s="28"/>
      <c r="E192" s="29">
        <v>3.3333330000000001E-2</v>
      </c>
      <c r="F192" s="28" t="s">
        <v>49</v>
      </c>
      <c r="G192" s="29">
        <v>0.125</v>
      </c>
      <c r="H192" s="28" t="s">
        <v>49</v>
      </c>
      <c r="I192" s="29">
        <v>1</v>
      </c>
      <c r="J192" s="28" t="s">
        <v>53</v>
      </c>
      <c r="K192" s="29">
        <v>4.1666699999999999E-3</v>
      </c>
      <c r="L192" s="28"/>
      <c r="M192" s="30">
        <v>1.35</v>
      </c>
      <c r="N192" s="28"/>
      <c r="O192" s="29">
        <v>2.1972673828125E-6</v>
      </c>
    </row>
    <row r="193" spans="1:15" x14ac:dyDescent="0.25">
      <c r="A193" s="28">
        <v>2</v>
      </c>
      <c r="B193" s="28" t="s">
        <v>29</v>
      </c>
      <c r="C193" s="28"/>
      <c r="D193" s="28"/>
      <c r="E193" s="29">
        <v>0.05</v>
      </c>
      <c r="F193" s="28" t="s">
        <v>49</v>
      </c>
      <c r="G193" s="29">
        <v>0.125</v>
      </c>
      <c r="H193" s="28" t="s">
        <v>49</v>
      </c>
      <c r="I193" s="29">
        <v>0.1</v>
      </c>
      <c r="J193" s="28" t="s">
        <v>53</v>
      </c>
      <c r="K193" s="29">
        <v>6.2500000000000001E-4</v>
      </c>
      <c r="L193" s="28"/>
      <c r="M193" s="30">
        <v>31.864999999999998</v>
      </c>
      <c r="N193" s="28"/>
      <c r="O193" s="29">
        <v>7.7795410156249997E-5</v>
      </c>
    </row>
    <row r="194" spans="1:15" x14ac:dyDescent="0.25">
      <c r="A194" s="28">
        <v>2</v>
      </c>
      <c r="B194" s="28" t="s">
        <v>226</v>
      </c>
      <c r="C194" s="28"/>
      <c r="D194" s="28"/>
      <c r="E194" s="29">
        <v>3.3333330000000001E-2</v>
      </c>
      <c r="F194" s="28" t="s">
        <v>49</v>
      </c>
      <c r="G194" s="29">
        <v>0.125</v>
      </c>
      <c r="H194" s="28" t="s">
        <v>49</v>
      </c>
      <c r="I194" s="29">
        <v>0.52500000000000002</v>
      </c>
      <c r="J194" s="28" t="s">
        <v>53</v>
      </c>
      <c r="K194" s="29">
        <v>2.1875000000000002E-3</v>
      </c>
      <c r="L194" s="28"/>
      <c r="M194" s="30">
        <v>167.29124999999999</v>
      </c>
      <c r="N194" s="28"/>
      <c r="O194" s="29">
        <v>2.72283935546875E-4</v>
      </c>
    </row>
    <row r="195" spans="1:15" x14ac:dyDescent="0.25">
      <c r="A195" s="28">
        <v>3</v>
      </c>
      <c r="B195" s="28" t="s">
        <v>25</v>
      </c>
      <c r="C195" s="28"/>
      <c r="D195" s="28"/>
      <c r="E195" s="29">
        <v>3.3333330000000001E-2</v>
      </c>
      <c r="F195" s="28" t="s">
        <v>49</v>
      </c>
      <c r="G195" s="29">
        <v>0.125</v>
      </c>
      <c r="H195" s="28" t="s">
        <v>49</v>
      </c>
      <c r="I195" s="29">
        <v>0.16666666999999999</v>
      </c>
      <c r="J195" s="28" t="s">
        <v>53</v>
      </c>
      <c r="K195" s="29">
        <v>6.9444000000000005E-4</v>
      </c>
      <c r="L195" s="28"/>
      <c r="M195" s="30">
        <v>40.000000999999997</v>
      </c>
      <c r="N195" s="28"/>
      <c r="O195" s="29">
        <v>6.5103750000000002E-5</v>
      </c>
    </row>
    <row r="196" spans="1:15" x14ac:dyDescent="0.25">
      <c r="A196" s="28">
        <v>3</v>
      </c>
      <c r="B196" s="28" t="s">
        <v>23</v>
      </c>
      <c r="C196" s="28"/>
      <c r="D196" s="28"/>
      <c r="E196" s="29">
        <v>3.3333330000000001E-2</v>
      </c>
      <c r="F196" s="28" t="s">
        <v>49</v>
      </c>
      <c r="G196" s="29">
        <v>0.125</v>
      </c>
      <c r="H196" s="28" t="s">
        <v>49</v>
      </c>
      <c r="I196" s="29">
        <v>6.25E-2</v>
      </c>
      <c r="J196" s="28" t="s">
        <v>53</v>
      </c>
      <c r="K196" s="29">
        <v>2.6041999999999998E-4</v>
      </c>
      <c r="L196" s="28"/>
      <c r="M196" s="30">
        <v>15</v>
      </c>
      <c r="N196" s="28"/>
      <c r="O196" s="29">
        <v>2.4414374999999999E-5</v>
      </c>
    </row>
    <row r="197" spans="1:15" x14ac:dyDescent="0.25">
      <c r="A197" s="28">
        <v>3</v>
      </c>
      <c r="B197" s="28" t="s">
        <v>21</v>
      </c>
      <c r="C197" s="28"/>
      <c r="D197" s="28"/>
      <c r="E197" s="29">
        <v>3.3333330000000001E-2</v>
      </c>
      <c r="F197" s="28" t="s">
        <v>49</v>
      </c>
      <c r="G197" s="29">
        <v>0.125</v>
      </c>
      <c r="H197" s="28" t="s">
        <v>49</v>
      </c>
      <c r="I197" s="29">
        <v>6.25E-2</v>
      </c>
      <c r="J197" s="28" t="s">
        <v>53</v>
      </c>
      <c r="K197" s="29">
        <v>2.6041999999999998E-4</v>
      </c>
      <c r="L197" s="28"/>
      <c r="M197" s="30">
        <v>15</v>
      </c>
      <c r="N197" s="28"/>
      <c r="O197" s="29">
        <v>2.4414374999999999E-5</v>
      </c>
    </row>
    <row r="198" spans="1:15" x14ac:dyDescent="0.25">
      <c r="A198" s="28">
        <v>3</v>
      </c>
      <c r="B198" s="28" t="s">
        <v>87</v>
      </c>
      <c r="C198" s="28"/>
      <c r="D198" s="28"/>
      <c r="E198" s="29">
        <v>3.3333330000000001E-2</v>
      </c>
      <c r="F198" s="28" t="s">
        <v>49</v>
      </c>
      <c r="G198" s="29">
        <v>0.125</v>
      </c>
      <c r="H198" s="28" t="s">
        <v>49</v>
      </c>
      <c r="I198" s="29">
        <v>0.16666666999999999</v>
      </c>
      <c r="J198" s="28" t="s">
        <v>53</v>
      </c>
      <c r="K198" s="29">
        <v>6.9444000000000005E-4</v>
      </c>
      <c r="L198" s="28"/>
      <c r="M198" s="30">
        <v>40.000000999999997</v>
      </c>
      <c r="N198" s="28"/>
      <c r="O198" s="29">
        <v>6.5103750000000002E-5</v>
      </c>
    </row>
    <row r="199" spans="1:15" x14ac:dyDescent="0.25">
      <c r="A199" s="28">
        <v>3</v>
      </c>
      <c r="B199" s="28" t="s">
        <v>88</v>
      </c>
      <c r="C199" s="28"/>
      <c r="D199" s="28"/>
      <c r="E199" s="29">
        <v>3.3333330000000001E-2</v>
      </c>
      <c r="F199" s="28" t="s">
        <v>49</v>
      </c>
      <c r="G199" s="29">
        <v>0.125</v>
      </c>
      <c r="H199" s="28" t="s">
        <v>49</v>
      </c>
      <c r="I199" s="29">
        <v>0.16666666999999999</v>
      </c>
      <c r="J199" s="28" t="s">
        <v>53</v>
      </c>
      <c r="K199" s="29">
        <v>6.9444000000000005E-4</v>
      </c>
      <c r="L199" s="28"/>
      <c r="M199" s="30">
        <v>40.000000999999997</v>
      </c>
      <c r="N199" s="28"/>
      <c r="O199" s="29">
        <v>6.5103750000000002E-5</v>
      </c>
    </row>
    <row r="200" spans="1:15" x14ac:dyDescent="0.25">
      <c r="A200" s="28">
        <v>3</v>
      </c>
      <c r="B200" s="28" t="s">
        <v>19</v>
      </c>
      <c r="C200" s="28"/>
      <c r="D200" s="28"/>
      <c r="E200" s="29">
        <v>3.3333330000000001E-2</v>
      </c>
      <c r="F200" s="28" t="s">
        <v>49</v>
      </c>
      <c r="G200" s="29">
        <v>0.125</v>
      </c>
      <c r="H200" s="28" t="s">
        <v>49</v>
      </c>
      <c r="I200" s="29">
        <v>0.125</v>
      </c>
      <c r="J200" s="28" t="s">
        <v>53</v>
      </c>
      <c r="K200" s="29">
        <v>5.2083000000000001E-4</v>
      </c>
      <c r="L200" s="28"/>
      <c r="M200" s="30">
        <v>30</v>
      </c>
      <c r="N200" s="28"/>
      <c r="O200" s="29">
        <v>4.8827812499999998E-5</v>
      </c>
    </row>
    <row r="201" spans="1:15" x14ac:dyDescent="0.25">
      <c r="A201" s="28">
        <v>3</v>
      </c>
      <c r="B201" s="28" t="s">
        <v>174</v>
      </c>
      <c r="C201" s="28" t="s">
        <v>35</v>
      </c>
      <c r="D201" s="28"/>
      <c r="E201" s="29">
        <v>0.05</v>
      </c>
      <c r="F201" s="28" t="s">
        <v>49</v>
      </c>
      <c r="G201" s="29">
        <v>0.125</v>
      </c>
      <c r="H201" s="28" t="s">
        <v>49</v>
      </c>
      <c r="I201" s="29">
        <v>0.125</v>
      </c>
      <c r="J201" s="28" t="s">
        <v>53</v>
      </c>
      <c r="K201" s="29">
        <v>7.8125000000000004E-4</v>
      </c>
      <c r="L201" s="28"/>
      <c r="M201" s="30">
        <v>30</v>
      </c>
      <c r="N201" s="28"/>
      <c r="O201" s="29">
        <v>7.3242187500000011E-5</v>
      </c>
    </row>
    <row r="202" spans="1:15" x14ac:dyDescent="0.25">
      <c r="A202" s="28">
        <v>3</v>
      </c>
      <c r="B202" s="28" t="s">
        <v>207</v>
      </c>
      <c r="C202" s="28" t="s">
        <v>35</v>
      </c>
      <c r="D202" s="28"/>
      <c r="E202" s="29">
        <v>0.05</v>
      </c>
      <c r="F202" s="28" t="s">
        <v>49</v>
      </c>
      <c r="G202" s="29">
        <v>0.125</v>
      </c>
      <c r="H202" s="28" t="s">
        <v>49</v>
      </c>
      <c r="I202" s="29">
        <v>0.125</v>
      </c>
      <c r="J202" s="28" t="s">
        <v>53</v>
      </c>
      <c r="K202" s="29">
        <v>7.8125000000000004E-4</v>
      </c>
      <c r="L202" s="28"/>
      <c r="M202" s="30">
        <v>30</v>
      </c>
      <c r="N202" s="28"/>
      <c r="O202" s="29">
        <v>7.3242187500000011E-5</v>
      </c>
    </row>
    <row r="203" spans="1:15" x14ac:dyDescent="0.25">
      <c r="A203" s="28">
        <v>4</v>
      </c>
      <c r="B203" s="28" t="s">
        <v>199</v>
      </c>
      <c r="C203" s="28"/>
      <c r="D203" s="28"/>
      <c r="E203" s="29">
        <v>3.3333330000000001E-2</v>
      </c>
      <c r="F203" s="28" t="s">
        <v>49</v>
      </c>
      <c r="G203" s="29">
        <v>0.125</v>
      </c>
      <c r="H203" s="28" t="s">
        <v>49</v>
      </c>
      <c r="I203" s="29">
        <v>1</v>
      </c>
      <c r="J203" s="28" t="s">
        <v>53</v>
      </c>
      <c r="K203" s="29">
        <v>4.1666699999999999E-3</v>
      </c>
      <c r="L203" s="28"/>
      <c r="M203" s="30">
        <v>80</v>
      </c>
      <c r="N203" s="28"/>
      <c r="O203" s="29">
        <v>1.302084375E-4</v>
      </c>
    </row>
    <row r="204" spans="1:15" x14ac:dyDescent="0.25">
      <c r="A204" s="28">
        <v>14</v>
      </c>
      <c r="B204" s="28" t="s">
        <v>140</v>
      </c>
      <c r="C204" s="28"/>
      <c r="D204" s="28"/>
      <c r="E204" s="29">
        <v>0.05</v>
      </c>
      <c r="F204" s="28" t="s">
        <v>49</v>
      </c>
      <c r="G204" s="29">
        <v>0.125</v>
      </c>
      <c r="H204" s="28" t="s">
        <v>49</v>
      </c>
      <c r="I204" s="29">
        <v>1</v>
      </c>
      <c r="J204" s="28" t="s">
        <v>53</v>
      </c>
      <c r="K204" s="29">
        <v>6.2500000000000003E-3</v>
      </c>
      <c r="L204" s="28"/>
      <c r="M204" s="30">
        <v>240</v>
      </c>
      <c r="N204" s="28"/>
      <c r="O204" s="29">
        <v>5.8593750000000009E-4</v>
      </c>
    </row>
    <row r="205" spans="1:15" x14ac:dyDescent="0.25">
      <c r="A205" s="28">
        <v>15</v>
      </c>
      <c r="B205" s="28" t="s">
        <v>227</v>
      </c>
      <c r="C205" s="28"/>
      <c r="D205" s="28"/>
      <c r="E205" s="29">
        <v>0.05</v>
      </c>
      <c r="F205" s="28" t="s">
        <v>49</v>
      </c>
      <c r="G205" s="29">
        <v>0.125</v>
      </c>
      <c r="H205" s="28" t="s">
        <v>49</v>
      </c>
      <c r="I205" s="29">
        <v>1</v>
      </c>
      <c r="J205" s="28" t="s">
        <v>53</v>
      </c>
      <c r="K205" s="29">
        <v>6.2500000000000003E-3</v>
      </c>
      <c r="L205" s="28"/>
      <c r="M205" s="30">
        <v>40</v>
      </c>
      <c r="N205" s="28"/>
      <c r="O205" s="29">
        <v>9.7656250000000005E-5</v>
      </c>
    </row>
    <row r="206" spans="1:15" x14ac:dyDescent="0.25">
      <c r="A206" s="28">
        <v>16</v>
      </c>
      <c r="B206" s="28" t="s">
        <v>60</v>
      </c>
      <c r="C206" s="28"/>
      <c r="D206" s="28"/>
      <c r="E206" s="29">
        <v>0.02</v>
      </c>
      <c r="F206" s="28" t="s">
        <v>49</v>
      </c>
      <c r="G206" s="29">
        <v>0.125</v>
      </c>
      <c r="H206" s="28" t="s">
        <v>49</v>
      </c>
      <c r="I206" s="29">
        <v>8.3333329999999997E-2</v>
      </c>
      <c r="J206" s="28" t="s">
        <v>53</v>
      </c>
      <c r="K206" s="29">
        <v>2.0833000000000001E-4</v>
      </c>
      <c r="L206" s="28"/>
      <c r="M206" s="30">
        <v>10</v>
      </c>
      <c r="N206" s="28"/>
      <c r="O206" s="29">
        <v>9.7654687499999994E-6</v>
      </c>
    </row>
    <row r="207" spans="1:15" x14ac:dyDescent="0.25">
      <c r="A207" s="28">
        <v>16</v>
      </c>
      <c r="B207" s="28" t="s">
        <v>228</v>
      </c>
      <c r="C207" s="28"/>
      <c r="D207" s="28"/>
      <c r="E207" s="29">
        <v>0.05</v>
      </c>
      <c r="F207" s="28" t="s">
        <v>49</v>
      </c>
      <c r="G207" s="29">
        <v>0.125</v>
      </c>
      <c r="H207" s="28" t="s">
        <v>49</v>
      </c>
      <c r="I207" s="29">
        <v>0.33333332999999998</v>
      </c>
      <c r="J207" s="28" t="s">
        <v>53</v>
      </c>
      <c r="K207" s="29">
        <v>2.08333E-3</v>
      </c>
      <c r="L207" s="28"/>
      <c r="M207" s="30">
        <v>40</v>
      </c>
      <c r="N207" s="28"/>
      <c r="O207" s="29">
        <v>9.7656093750000006E-5</v>
      </c>
    </row>
    <row r="208" spans="1:15" x14ac:dyDescent="0.25">
      <c r="A208" s="28">
        <v>17</v>
      </c>
      <c r="B208" s="28" t="s">
        <v>9</v>
      </c>
      <c r="C208" s="28"/>
      <c r="D208" s="28"/>
      <c r="E208" s="29">
        <v>0.05</v>
      </c>
      <c r="F208" s="28" t="s">
        <v>49</v>
      </c>
      <c r="G208" s="29">
        <v>0.125</v>
      </c>
      <c r="H208" s="28" t="s">
        <v>49</v>
      </c>
      <c r="I208" s="29">
        <v>1</v>
      </c>
      <c r="J208" s="28" t="s">
        <v>53</v>
      </c>
      <c r="K208" s="29">
        <v>6.2500000000000003E-3</v>
      </c>
      <c r="L208" s="28"/>
      <c r="M208" s="30">
        <v>240</v>
      </c>
      <c r="N208" s="28"/>
      <c r="O208" s="29">
        <v>5.8593750000000009E-4</v>
      </c>
    </row>
    <row r="209" spans="1:15" x14ac:dyDescent="0.25">
      <c r="A209" s="28">
        <v>18</v>
      </c>
      <c r="B209" s="28" t="s">
        <v>229</v>
      </c>
      <c r="C209" s="28"/>
      <c r="D209" s="28"/>
      <c r="E209" s="29">
        <v>0.05</v>
      </c>
      <c r="F209" s="28" t="s">
        <v>49</v>
      </c>
      <c r="G209" s="29">
        <v>0.125</v>
      </c>
      <c r="H209" s="28" t="s">
        <v>49</v>
      </c>
      <c r="I209" s="29">
        <v>1</v>
      </c>
      <c r="J209" s="28" t="s">
        <v>53</v>
      </c>
      <c r="K209" s="29">
        <v>6.2500000000000003E-3</v>
      </c>
      <c r="L209" s="28"/>
      <c r="M209" s="30">
        <v>320</v>
      </c>
      <c r="N209" s="28"/>
      <c r="O209" s="29">
        <v>7.8125000000000004E-4</v>
      </c>
    </row>
    <row r="210" spans="1:15" x14ac:dyDescent="0.25">
      <c r="A210" s="28">
        <v>19</v>
      </c>
      <c r="B210" s="28" t="s">
        <v>216</v>
      </c>
      <c r="C210" s="28"/>
      <c r="D210" s="28"/>
      <c r="E210" s="29">
        <v>3.3333330000000001E-2</v>
      </c>
      <c r="F210" s="28" t="s">
        <v>49</v>
      </c>
      <c r="G210" s="29">
        <v>0.125</v>
      </c>
      <c r="H210" s="28" t="s">
        <v>49</v>
      </c>
      <c r="I210" s="29">
        <v>1</v>
      </c>
      <c r="J210" s="28" t="s">
        <v>53</v>
      </c>
      <c r="K210" s="29">
        <v>4.1666699999999999E-3</v>
      </c>
      <c r="L210" s="28"/>
      <c r="M210" s="30">
        <v>160</v>
      </c>
      <c r="N210" s="28"/>
      <c r="O210" s="29">
        <v>2.60416875E-4</v>
      </c>
    </row>
    <row r="211" spans="1:15" x14ac:dyDescent="0.25">
      <c r="A211" s="28">
        <v>20</v>
      </c>
      <c r="B211" s="28" t="s">
        <v>230</v>
      </c>
      <c r="C211" s="28"/>
      <c r="D211" s="28"/>
      <c r="E211" s="29">
        <v>0.05</v>
      </c>
      <c r="F211" s="28" t="s">
        <v>49</v>
      </c>
      <c r="G211" s="29">
        <v>0.125</v>
      </c>
      <c r="H211" s="28" t="s">
        <v>49</v>
      </c>
      <c r="I211" s="29">
        <v>1</v>
      </c>
      <c r="J211" s="28" t="s">
        <v>53</v>
      </c>
      <c r="K211" s="29">
        <v>6.2500000000000003E-3</v>
      </c>
      <c r="L211" s="28"/>
      <c r="M211" s="30">
        <v>160</v>
      </c>
      <c r="N211" s="28"/>
      <c r="O211" s="29">
        <v>3.9062500000000002E-4</v>
      </c>
    </row>
    <row r="212" spans="1:15" x14ac:dyDescent="0.25">
      <c r="A212" s="18">
        <v>28</v>
      </c>
      <c r="B212" s="18" t="s">
        <v>117</v>
      </c>
      <c r="C212" s="18"/>
      <c r="D212" s="18"/>
      <c r="E212" s="19">
        <v>3.3333330000000001E-2</v>
      </c>
      <c r="F212" s="18" t="s">
        <v>49</v>
      </c>
      <c r="G212" s="19">
        <v>0.125</v>
      </c>
      <c r="H212" s="18" t="s">
        <v>49</v>
      </c>
      <c r="I212" s="19">
        <v>1</v>
      </c>
      <c r="J212" s="18" t="s">
        <v>53</v>
      </c>
      <c r="K212" s="19">
        <v>4.1666699999999999E-3</v>
      </c>
      <c r="L212" s="18"/>
      <c r="M212" s="20">
        <v>480</v>
      </c>
      <c r="N212" s="18"/>
      <c r="O212" s="19">
        <v>7.8125062499999993E-4</v>
      </c>
    </row>
    <row r="213" spans="1:15" x14ac:dyDescent="0.25">
      <c r="A213" s="21" t="s">
        <v>61</v>
      </c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3">
        <v>4.5124325505859373E-3</v>
      </c>
    </row>
    <row r="215" spans="1:15" x14ac:dyDescent="0.25">
      <c r="A215" s="26" t="s">
        <v>57</v>
      </c>
      <c r="B215" s="44" t="s">
        <v>256</v>
      </c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6"/>
    </row>
    <row r="216" spans="1:15" x14ac:dyDescent="0.25">
      <c r="A216" s="27" t="s">
        <v>214</v>
      </c>
      <c r="B216" s="41" t="s">
        <v>257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3"/>
    </row>
    <row r="218" spans="1:15" x14ac:dyDescent="0.25">
      <c r="A218" s="18">
        <v>16</v>
      </c>
      <c r="B218" s="18" t="s">
        <v>238</v>
      </c>
      <c r="C218" s="18"/>
      <c r="D218" s="18"/>
      <c r="E218" s="19">
        <v>5.7142859999999997E-2</v>
      </c>
      <c r="F218" s="18" t="s">
        <v>49</v>
      </c>
      <c r="G218" s="19">
        <v>8.3333329999999997E-2</v>
      </c>
      <c r="H218" s="18" t="s">
        <v>49</v>
      </c>
      <c r="I218" s="19">
        <v>0.58333332999999998</v>
      </c>
      <c r="J218" s="18" t="s">
        <v>53</v>
      </c>
      <c r="K218" s="19">
        <v>2.7777800000000001E-3</v>
      </c>
      <c r="L218" s="18"/>
      <c r="M218" s="20">
        <v>70</v>
      </c>
      <c r="N218" s="18"/>
      <c r="O218" s="19">
        <v>1.302084375E-4</v>
      </c>
    </row>
    <row r="219" spans="1:15" x14ac:dyDescent="0.25">
      <c r="A219" s="21" t="s">
        <v>61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3">
        <v>1.302084375E-4</v>
      </c>
    </row>
    <row r="221" spans="1:15" x14ac:dyDescent="0.25">
      <c r="A221" s="26" t="s">
        <v>57</v>
      </c>
      <c r="B221" s="44" t="s">
        <v>258</v>
      </c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6"/>
    </row>
    <row r="222" spans="1:15" x14ac:dyDescent="0.25">
      <c r="A222" s="27" t="s">
        <v>214</v>
      </c>
      <c r="B222" s="41" t="s">
        <v>259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3"/>
    </row>
    <row r="224" spans="1:15" x14ac:dyDescent="0.25">
      <c r="A224" s="18">
        <v>2</v>
      </c>
      <c r="B224" s="18" t="s">
        <v>31</v>
      </c>
      <c r="C224" s="18" t="s">
        <v>260</v>
      </c>
      <c r="D224" s="18"/>
      <c r="E224" s="19">
        <v>1.9000000000000001E-7</v>
      </c>
      <c r="F224" s="18" t="s">
        <v>49</v>
      </c>
      <c r="G224" s="19">
        <v>1</v>
      </c>
      <c r="H224" s="18" t="s">
        <v>49</v>
      </c>
      <c r="I224" s="19">
        <v>7.4999999999999997E-2</v>
      </c>
      <c r="J224" s="18" t="s">
        <v>53</v>
      </c>
      <c r="K224" s="19">
        <v>1E-8</v>
      </c>
      <c r="L224" s="18"/>
      <c r="M224" s="20">
        <v>23.89875</v>
      </c>
      <c r="N224" s="18"/>
      <c r="O224" s="19">
        <v>1.2447265625E-9</v>
      </c>
    </row>
    <row r="225" spans="1:15" x14ac:dyDescent="0.25">
      <c r="A225" s="21" t="s">
        <v>61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3">
        <v>1.2447265625E-9</v>
      </c>
    </row>
    <row r="227" spans="1:15" x14ac:dyDescent="0.25">
      <c r="A227" s="26" t="s">
        <v>57</v>
      </c>
      <c r="B227" s="44" t="s">
        <v>261</v>
      </c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6"/>
    </row>
    <row r="228" spans="1:15" x14ac:dyDescent="0.25">
      <c r="A228" s="27" t="s">
        <v>214</v>
      </c>
      <c r="B228" s="41" t="s">
        <v>262</v>
      </c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3"/>
    </row>
    <row r="230" spans="1:15" x14ac:dyDescent="0.25">
      <c r="A230" s="18">
        <v>16</v>
      </c>
      <c r="B230" s="18" t="s">
        <v>60</v>
      </c>
      <c r="C230" s="18"/>
      <c r="D230" s="18"/>
      <c r="E230" s="19">
        <v>0.03</v>
      </c>
      <c r="F230" s="18" t="s">
        <v>49</v>
      </c>
      <c r="G230" s="19">
        <v>0.05</v>
      </c>
      <c r="H230" s="18" t="s">
        <v>49</v>
      </c>
      <c r="I230" s="19">
        <v>8.3333329999999997E-2</v>
      </c>
      <c r="J230" s="18" t="s">
        <v>53</v>
      </c>
      <c r="K230" s="19">
        <v>1.25E-4</v>
      </c>
      <c r="L230" s="18"/>
      <c r="M230" s="20">
        <v>10</v>
      </c>
      <c r="N230" s="18"/>
      <c r="O230" s="19">
        <v>5.8593750000000001E-6</v>
      </c>
    </row>
    <row r="231" spans="1:15" x14ac:dyDescent="0.25">
      <c r="A231" s="21" t="s">
        <v>61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3">
        <v>5.8593750000000001E-6</v>
      </c>
    </row>
    <row r="233" spans="1:15" x14ac:dyDescent="0.25">
      <c r="A233" s="26" t="s">
        <v>57</v>
      </c>
      <c r="B233" s="44" t="s">
        <v>263</v>
      </c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6"/>
    </row>
    <row r="234" spans="1:15" x14ac:dyDescent="0.25">
      <c r="A234" s="27" t="s">
        <v>214</v>
      </c>
      <c r="B234" s="41" t="s">
        <v>264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3"/>
    </row>
    <row r="236" spans="1:15" x14ac:dyDescent="0.25">
      <c r="A236" s="18">
        <v>16</v>
      </c>
      <c r="B236" s="18" t="s">
        <v>60</v>
      </c>
      <c r="C236" s="18"/>
      <c r="D236" s="18"/>
      <c r="E236" s="19">
        <v>0.03</v>
      </c>
      <c r="F236" s="18" t="s">
        <v>49</v>
      </c>
      <c r="G236" s="19">
        <v>0.5</v>
      </c>
      <c r="H236" s="18" t="s">
        <v>49</v>
      </c>
      <c r="I236" s="19">
        <v>8.3333329999999997E-2</v>
      </c>
      <c r="J236" s="18" t="s">
        <v>53</v>
      </c>
      <c r="K236" s="19">
        <v>1.25E-3</v>
      </c>
      <c r="L236" s="18"/>
      <c r="M236" s="20">
        <v>10</v>
      </c>
      <c r="N236" s="18"/>
      <c r="O236" s="19">
        <v>5.8593749999999998E-5</v>
      </c>
    </row>
    <row r="237" spans="1:15" x14ac:dyDescent="0.25">
      <c r="A237" s="21" t="s">
        <v>61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3">
        <v>5.8593749999999998E-5</v>
      </c>
    </row>
    <row r="239" spans="1:15" x14ac:dyDescent="0.25">
      <c r="A239" s="26" t="s">
        <v>57</v>
      </c>
      <c r="B239" s="44" t="s">
        <v>265</v>
      </c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6"/>
    </row>
    <row r="240" spans="1:15" x14ac:dyDescent="0.25">
      <c r="A240" s="27" t="s">
        <v>214</v>
      </c>
      <c r="B240" s="41" t="s">
        <v>68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3"/>
    </row>
    <row r="242" spans="1:15" x14ac:dyDescent="0.25">
      <c r="A242" s="28">
        <v>2</v>
      </c>
      <c r="B242" s="28" t="s">
        <v>125</v>
      </c>
      <c r="C242" s="28" t="s">
        <v>242</v>
      </c>
      <c r="D242" s="28"/>
      <c r="E242" s="29">
        <v>8.9999999999999993E-3</v>
      </c>
      <c r="F242" s="28" t="s">
        <v>49</v>
      </c>
      <c r="G242" s="29">
        <v>1</v>
      </c>
      <c r="H242" s="28" t="s">
        <v>49</v>
      </c>
      <c r="I242" s="29">
        <v>0.1</v>
      </c>
      <c r="J242" s="28" t="s">
        <v>53</v>
      </c>
      <c r="K242" s="29">
        <v>8.9999999999999998E-4</v>
      </c>
      <c r="L242" s="28"/>
      <c r="M242" s="30">
        <v>31.864999999999998</v>
      </c>
      <c r="N242" s="28"/>
      <c r="O242" s="29">
        <v>1.12025390625E-4</v>
      </c>
    </row>
    <row r="243" spans="1:15" x14ac:dyDescent="0.25">
      <c r="A243" s="28">
        <v>2</v>
      </c>
      <c r="B243" s="28" t="s">
        <v>125</v>
      </c>
      <c r="C243" s="28" t="s">
        <v>242</v>
      </c>
      <c r="D243" s="28"/>
      <c r="E243" s="29">
        <v>3.0000000000000001E-3</v>
      </c>
      <c r="F243" s="28" t="s">
        <v>49</v>
      </c>
      <c r="G243" s="29">
        <v>0.5</v>
      </c>
      <c r="H243" s="28" t="s">
        <v>49</v>
      </c>
      <c r="I243" s="29">
        <v>0.1</v>
      </c>
      <c r="J243" s="28" t="s">
        <v>53</v>
      </c>
      <c r="K243" s="29">
        <v>1.4999999999999999E-4</v>
      </c>
      <c r="L243" s="28"/>
      <c r="M243" s="30">
        <v>31.864999999999998</v>
      </c>
      <c r="N243" s="28"/>
      <c r="O243" s="29">
        <v>1.8670898437500001E-5</v>
      </c>
    </row>
    <row r="244" spans="1:15" x14ac:dyDescent="0.25">
      <c r="A244" s="28">
        <v>2</v>
      </c>
      <c r="B244" s="28" t="s">
        <v>125</v>
      </c>
      <c r="C244" s="28" t="s">
        <v>242</v>
      </c>
      <c r="D244" s="28"/>
      <c r="E244" s="29">
        <v>3.0000000000000001E-3</v>
      </c>
      <c r="F244" s="28" t="s">
        <v>49</v>
      </c>
      <c r="G244" s="29">
        <v>1</v>
      </c>
      <c r="H244" s="28" t="s">
        <v>49</v>
      </c>
      <c r="I244" s="29">
        <v>0.1</v>
      </c>
      <c r="J244" s="28" t="s">
        <v>53</v>
      </c>
      <c r="K244" s="29">
        <v>2.9999999999999997E-4</v>
      </c>
      <c r="L244" s="28"/>
      <c r="M244" s="30">
        <v>31.864999999999998</v>
      </c>
      <c r="N244" s="28"/>
      <c r="O244" s="29">
        <v>3.7341796874999988E-5</v>
      </c>
    </row>
    <row r="245" spans="1:15" x14ac:dyDescent="0.25">
      <c r="A245" s="18">
        <v>2</v>
      </c>
      <c r="B245" s="18" t="s">
        <v>125</v>
      </c>
      <c r="C245" s="18" t="s">
        <v>242</v>
      </c>
      <c r="D245" s="18"/>
      <c r="E245" s="19">
        <v>3.0000000000000001E-3</v>
      </c>
      <c r="F245" s="18" t="s">
        <v>49</v>
      </c>
      <c r="G245" s="19">
        <v>0.5</v>
      </c>
      <c r="H245" s="18" t="s">
        <v>49</v>
      </c>
      <c r="I245" s="19">
        <v>0.1</v>
      </c>
      <c r="J245" s="18" t="s">
        <v>53</v>
      </c>
      <c r="K245" s="19">
        <v>1.4999999999999999E-4</v>
      </c>
      <c r="L245" s="18"/>
      <c r="M245" s="20">
        <v>31.864999999999998</v>
      </c>
      <c r="N245" s="18"/>
      <c r="O245" s="19">
        <v>1.8670898437500001E-5</v>
      </c>
    </row>
    <row r="246" spans="1:15" x14ac:dyDescent="0.25">
      <c r="A246" s="21" t="s">
        <v>61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3">
        <v>1.86708984375E-4</v>
      </c>
    </row>
    <row r="248" spans="1:15" x14ac:dyDescent="0.25">
      <c r="A248" s="26" t="s">
        <v>57</v>
      </c>
      <c r="B248" s="44" t="s">
        <v>266</v>
      </c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6"/>
    </row>
    <row r="249" spans="1:15" x14ac:dyDescent="0.25">
      <c r="A249" s="27" t="s">
        <v>214</v>
      </c>
      <c r="B249" s="41" t="s">
        <v>267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3"/>
    </row>
    <row r="251" spans="1:15" x14ac:dyDescent="0.25">
      <c r="A251" s="18">
        <v>16</v>
      </c>
      <c r="B251" s="18" t="s">
        <v>238</v>
      </c>
      <c r="C251" s="18"/>
      <c r="D251" s="18"/>
      <c r="E251" s="19">
        <v>5.7142859999999997E-2</v>
      </c>
      <c r="F251" s="18" t="s">
        <v>49</v>
      </c>
      <c r="G251" s="19">
        <v>8.3333299999999999E-3</v>
      </c>
      <c r="H251" s="18" t="s">
        <v>49</v>
      </c>
      <c r="I251" s="19">
        <v>0.58333332999999998</v>
      </c>
      <c r="J251" s="18" t="s">
        <v>53</v>
      </c>
      <c r="K251" s="19">
        <v>2.7777999999999999E-4</v>
      </c>
      <c r="L251" s="18"/>
      <c r="M251" s="20">
        <v>70</v>
      </c>
      <c r="N251" s="18"/>
      <c r="O251" s="19">
        <v>1.30209375E-5</v>
      </c>
    </row>
    <row r="252" spans="1:15" x14ac:dyDescent="0.25">
      <c r="A252" s="21" t="s">
        <v>61</v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3">
        <v>1.30209375E-5</v>
      </c>
    </row>
    <row r="254" spans="1:15" x14ac:dyDescent="0.25">
      <c r="A254" s="26" t="s">
        <v>57</v>
      </c>
      <c r="B254" s="44" t="s">
        <v>268</v>
      </c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6"/>
    </row>
    <row r="255" spans="1:15" x14ac:dyDescent="0.25">
      <c r="A255" s="27" t="s">
        <v>214</v>
      </c>
      <c r="B255" s="41" t="s">
        <v>269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3"/>
    </row>
    <row r="257" spans="1:15" x14ac:dyDescent="0.25">
      <c r="A257" s="18">
        <v>16</v>
      </c>
      <c r="B257" s="18" t="s">
        <v>60</v>
      </c>
      <c r="C257" s="18"/>
      <c r="D257" s="18"/>
      <c r="E257" s="19">
        <v>0.03</v>
      </c>
      <c r="F257" s="18" t="s">
        <v>49</v>
      </c>
      <c r="G257" s="19">
        <v>2.5000000000000001E-2</v>
      </c>
      <c r="H257" s="18" t="s">
        <v>49</v>
      </c>
      <c r="I257" s="19">
        <v>8.3333329999999997E-2</v>
      </c>
      <c r="J257" s="18" t="s">
        <v>53</v>
      </c>
      <c r="K257" s="19">
        <v>6.2500000000000001E-5</v>
      </c>
      <c r="L257" s="18"/>
      <c r="M257" s="20">
        <v>10</v>
      </c>
      <c r="N257" s="18"/>
      <c r="O257" s="19">
        <v>2.9296875000000001E-6</v>
      </c>
    </row>
    <row r="258" spans="1:15" x14ac:dyDescent="0.25">
      <c r="A258" s="21" t="s">
        <v>61</v>
      </c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3">
        <v>2.9296875000000001E-6</v>
      </c>
    </row>
    <row r="260" spans="1:15" x14ac:dyDescent="0.25">
      <c r="A260" s="26" t="s">
        <v>57</v>
      </c>
      <c r="B260" s="44" t="s">
        <v>270</v>
      </c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6"/>
    </row>
    <row r="261" spans="1:15" x14ac:dyDescent="0.25">
      <c r="A261" s="27" t="s">
        <v>214</v>
      </c>
      <c r="B261" s="41" t="s">
        <v>68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3"/>
    </row>
    <row r="263" spans="1:15" x14ac:dyDescent="0.25">
      <c r="A263" s="28">
        <v>2</v>
      </c>
      <c r="B263" s="28" t="s">
        <v>125</v>
      </c>
      <c r="C263" s="28" t="s">
        <v>242</v>
      </c>
      <c r="D263" s="28"/>
      <c r="E263" s="29">
        <v>1.5E-3</v>
      </c>
      <c r="F263" s="28" t="s">
        <v>49</v>
      </c>
      <c r="G263" s="29">
        <v>1</v>
      </c>
      <c r="H263" s="28" t="s">
        <v>49</v>
      </c>
      <c r="I263" s="29">
        <v>0.1</v>
      </c>
      <c r="J263" s="28" t="s">
        <v>53</v>
      </c>
      <c r="K263" s="29">
        <v>1.4999999999999999E-4</v>
      </c>
      <c r="L263" s="28"/>
      <c r="M263" s="30">
        <v>31.864999999999998</v>
      </c>
      <c r="N263" s="28"/>
      <c r="O263" s="29">
        <v>1.8670898437500001E-5</v>
      </c>
    </row>
    <row r="264" spans="1:15" x14ac:dyDescent="0.25">
      <c r="A264" s="18">
        <v>16</v>
      </c>
      <c r="B264" s="18" t="s">
        <v>60</v>
      </c>
      <c r="C264" s="18"/>
      <c r="D264" s="18"/>
      <c r="E264" s="19">
        <v>0.03</v>
      </c>
      <c r="F264" s="18" t="s">
        <v>49</v>
      </c>
      <c r="G264" s="19">
        <v>0.05</v>
      </c>
      <c r="H264" s="18" t="s">
        <v>49</v>
      </c>
      <c r="I264" s="19">
        <v>8.3333329999999997E-2</v>
      </c>
      <c r="J264" s="18" t="s">
        <v>53</v>
      </c>
      <c r="K264" s="19">
        <v>1.25E-4</v>
      </c>
      <c r="L264" s="18"/>
      <c r="M264" s="20">
        <v>10</v>
      </c>
      <c r="N264" s="18"/>
      <c r="O264" s="19">
        <v>5.8593750000000001E-6</v>
      </c>
    </row>
    <row r="265" spans="1:15" x14ac:dyDescent="0.25">
      <c r="A265" s="21" t="s">
        <v>61</v>
      </c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3">
        <v>2.4530273437499999E-5</v>
      </c>
    </row>
    <row r="267" spans="1:15" x14ac:dyDescent="0.25">
      <c r="A267" s="26" t="s">
        <v>57</v>
      </c>
      <c r="B267" s="44" t="s">
        <v>271</v>
      </c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6"/>
    </row>
    <row r="268" spans="1:15" x14ac:dyDescent="0.25">
      <c r="A268" s="27" t="s">
        <v>214</v>
      </c>
      <c r="B268" s="41" t="s">
        <v>68</v>
      </c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3"/>
    </row>
    <row r="270" spans="1:15" x14ac:dyDescent="0.25">
      <c r="A270" s="28">
        <v>2</v>
      </c>
      <c r="B270" s="28" t="s">
        <v>31</v>
      </c>
      <c r="C270" s="28"/>
      <c r="D270" s="28"/>
      <c r="E270" s="29">
        <v>1.6666650000000002E-2</v>
      </c>
      <c r="F270" s="28" t="s">
        <v>49</v>
      </c>
      <c r="G270" s="29">
        <v>1</v>
      </c>
      <c r="H270" s="28" t="s">
        <v>49</v>
      </c>
      <c r="I270" s="29">
        <v>7.4999999999999997E-2</v>
      </c>
      <c r="J270" s="28" t="s">
        <v>53</v>
      </c>
      <c r="K270" s="29">
        <v>1.25E-3</v>
      </c>
      <c r="L270" s="28"/>
      <c r="M270" s="30">
        <v>23.89875</v>
      </c>
      <c r="N270" s="28"/>
      <c r="O270" s="29">
        <v>1.5559082031249999E-4</v>
      </c>
    </row>
    <row r="271" spans="1:15" x14ac:dyDescent="0.25">
      <c r="A271" s="18">
        <v>2</v>
      </c>
      <c r="B271" s="18" t="s">
        <v>235</v>
      </c>
      <c r="C271" s="18"/>
      <c r="D271" s="18"/>
      <c r="E271" s="19">
        <v>1.6666650000000002E-2</v>
      </c>
      <c r="F271" s="18" t="s">
        <v>49</v>
      </c>
      <c r="G271" s="19">
        <v>1</v>
      </c>
      <c r="H271" s="18" t="s">
        <v>49</v>
      </c>
      <c r="I271" s="19">
        <v>0.2</v>
      </c>
      <c r="J271" s="18" t="s">
        <v>53</v>
      </c>
      <c r="K271" s="19">
        <v>3.3333299999999998E-3</v>
      </c>
      <c r="L271" s="18"/>
      <c r="M271" s="20">
        <v>63.73</v>
      </c>
      <c r="N271" s="18"/>
      <c r="O271" s="19">
        <v>4.1490843925781238E-4</v>
      </c>
    </row>
    <row r="272" spans="1:15" x14ac:dyDescent="0.25">
      <c r="A272" s="21" t="s">
        <v>61</v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3">
        <v>5.7049925957031243E-4</v>
      </c>
    </row>
    <row r="274" spans="1:15" x14ac:dyDescent="0.25">
      <c r="A274" s="26" t="s">
        <v>57</v>
      </c>
      <c r="B274" s="44" t="s">
        <v>272</v>
      </c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6"/>
    </row>
    <row r="275" spans="1:15" x14ac:dyDescent="0.25">
      <c r="A275" s="27" t="s">
        <v>214</v>
      </c>
      <c r="B275" s="41" t="s">
        <v>273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3"/>
    </row>
    <row r="277" spans="1:15" x14ac:dyDescent="0.25">
      <c r="A277" s="28">
        <v>2</v>
      </c>
      <c r="B277" s="28" t="s">
        <v>31</v>
      </c>
      <c r="C277" s="28"/>
      <c r="D277" s="28"/>
      <c r="E277" s="29">
        <v>8.3333299999999999E-3</v>
      </c>
      <c r="F277" s="28" t="s">
        <v>49</v>
      </c>
      <c r="G277" s="29">
        <v>0.4</v>
      </c>
      <c r="H277" s="28" t="s">
        <v>49</v>
      </c>
      <c r="I277" s="29">
        <v>7.4999999999999997E-2</v>
      </c>
      <c r="J277" s="28" t="s">
        <v>53</v>
      </c>
      <c r="K277" s="29">
        <v>2.5000000000000001E-4</v>
      </c>
      <c r="L277" s="28"/>
      <c r="M277" s="30">
        <v>23.89875</v>
      </c>
      <c r="N277" s="28"/>
      <c r="O277" s="29">
        <v>3.1118164062499998E-5</v>
      </c>
    </row>
    <row r="278" spans="1:15" x14ac:dyDescent="0.25">
      <c r="A278" s="18">
        <v>2</v>
      </c>
      <c r="B278" s="18" t="s">
        <v>235</v>
      </c>
      <c r="C278" s="18" t="s">
        <v>41</v>
      </c>
      <c r="D278" s="18"/>
      <c r="E278" s="19">
        <v>8.3333299999999999E-3</v>
      </c>
      <c r="F278" s="18" t="s">
        <v>49</v>
      </c>
      <c r="G278" s="19">
        <v>0.4</v>
      </c>
      <c r="H278" s="18" t="s">
        <v>49</v>
      </c>
      <c r="I278" s="19">
        <v>0.2</v>
      </c>
      <c r="J278" s="18" t="s">
        <v>53</v>
      </c>
      <c r="K278" s="19">
        <v>6.6666999999999996E-4</v>
      </c>
      <c r="L278" s="18"/>
      <c r="M278" s="20">
        <v>63.73</v>
      </c>
      <c r="N278" s="18"/>
      <c r="O278" s="19">
        <v>8.2982185742187486E-5</v>
      </c>
    </row>
    <row r="279" spans="1:15" x14ac:dyDescent="0.25">
      <c r="A279" s="21" t="s">
        <v>61</v>
      </c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3">
        <v>1.141003498046875E-4</v>
      </c>
    </row>
    <row r="281" spans="1:15" x14ac:dyDescent="0.25">
      <c r="A281" s="26" t="s">
        <v>57</v>
      </c>
      <c r="B281" s="44" t="s">
        <v>274</v>
      </c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6"/>
    </row>
    <row r="282" spans="1:15" x14ac:dyDescent="0.25">
      <c r="A282" s="27" t="s">
        <v>214</v>
      </c>
      <c r="B282" s="41" t="s">
        <v>68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3"/>
    </row>
    <row r="284" spans="1:15" x14ac:dyDescent="0.25">
      <c r="A284" s="28">
        <v>1</v>
      </c>
      <c r="B284" s="28" t="s">
        <v>126</v>
      </c>
      <c r="C284" s="28"/>
      <c r="D284" s="28"/>
      <c r="E284" s="29">
        <v>3.3333330000000001E-2</v>
      </c>
      <c r="F284" s="28" t="s">
        <v>49</v>
      </c>
      <c r="G284" s="29">
        <v>3.125E-2</v>
      </c>
      <c r="H284" s="28" t="s">
        <v>49</v>
      </c>
      <c r="I284" s="29">
        <v>1</v>
      </c>
      <c r="J284" s="28" t="s">
        <v>53</v>
      </c>
      <c r="K284" s="29">
        <v>1.04167E-3</v>
      </c>
      <c r="L284" s="28"/>
      <c r="M284" s="30">
        <v>1.35</v>
      </c>
      <c r="N284" s="28"/>
      <c r="O284" s="29">
        <v>5.4931816406250003E-7</v>
      </c>
    </row>
    <row r="285" spans="1:15" x14ac:dyDescent="0.25">
      <c r="A285" s="28">
        <v>2</v>
      </c>
      <c r="B285" s="28" t="s">
        <v>226</v>
      </c>
      <c r="C285" s="28"/>
      <c r="D285" s="28"/>
      <c r="E285" s="29">
        <v>3.3333330000000001E-2</v>
      </c>
      <c r="F285" s="28" t="s">
        <v>49</v>
      </c>
      <c r="G285" s="29">
        <v>3.125E-2</v>
      </c>
      <c r="H285" s="28" t="s">
        <v>49</v>
      </c>
      <c r="I285" s="29">
        <v>0.52500000000000002</v>
      </c>
      <c r="J285" s="28" t="s">
        <v>53</v>
      </c>
      <c r="K285" s="29">
        <v>5.4686000000000003E-4</v>
      </c>
      <c r="L285" s="28"/>
      <c r="M285" s="30">
        <v>167.29124999999999</v>
      </c>
      <c r="N285" s="28"/>
      <c r="O285" s="29">
        <v>6.8069116796875003E-5</v>
      </c>
    </row>
    <row r="286" spans="1:15" x14ac:dyDescent="0.25">
      <c r="A286" s="28">
        <v>2</v>
      </c>
      <c r="B286" s="28" t="s">
        <v>29</v>
      </c>
      <c r="C286" s="28"/>
      <c r="D286" s="28"/>
      <c r="E286" s="29">
        <v>0.05</v>
      </c>
      <c r="F286" s="28" t="s">
        <v>49</v>
      </c>
      <c r="G286" s="29">
        <v>3.125E-2</v>
      </c>
      <c r="H286" s="28" t="s">
        <v>49</v>
      </c>
      <c r="I286" s="29">
        <v>0.1</v>
      </c>
      <c r="J286" s="28" t="s">
        <v>53</v>
      </c>
      <c r="K286" s="29">
        <v>1.5625E-4</v>
      </c>
      <c r="L286" s="28"/>
      <c r="M286" s="30">
        <v>31.864999999999998</v>
      </c>
      <c r="N286" s="28"/>
      <c r="O286" s="29">
        <v>1.9448852539062499E-5</v>
      </c>
    </row>
    <row r="287" spans="1:15" x14ac:dyDescent="0.25">
      <c r="A287" s="28">
        <v>3</v>
      </c>
      <c r="B287" s="28" t="s">
        <v>87</v>
      </c>
      <c r="C287" s="28"/>
      <c r="D287" s="28"/>
      <c r="E287" s="29">
        <v>3.3333330000000001E-2</v>
      </c>
      <c r="F287" s="28" t="s">
        <v>49</v>
      </c>
      <c r="G287" s="29">
        <v>3.125E-2</v>
      </c>
      <c r="H287" s="28" t="s">
        <v>49</v>
      </c>
      <c r="I287" s="29">
        <v>0.16666666999999999</v>
      </c>
      <c r="J287" s="28" t="s">
        <v>53</v>
      </c>
      <c r="K287" s="29">
        <v>1.7361000000000001E-4</v>
      </c>
      <c r="L287" s="28"/>
      <c r="M287" s="30">
        <v>40.000000999999997</v>
      </c>
      <c r="N287" s="28"/>
      <c r="O287" s="29">
        <v>1.62759375E-5</v>
      </c>
    </row>
    <row r="288" spans="1:15" x14ac:dyDescent="0.25">
      <c r="A288" s="28">
        <v>3</v>
      </c>
      <c r="B288" s="28" t="s">
        <v>174</v>
      </c>
      <c r="C288" s="28" t="s">
        <v>35</v>
      </c>
      <c r="D288" s="28"/>
      <c r="E288" s="29">
        <v>0.05</v>
      </c>
      <c r="F288" s="28" t="s">
        <v>49</v>
      </c>
      <c r="G288" s="29">
        <v>3.125E-2</v>
      </c>
      <c r="H288" s="28" t="s">
        <v>49</v>
      </c>
      <c r="I288" s="29">
        <v>0.125</v>
      </c>
      <c r="J288" s="28" t="s">
        <v>53</v>
      </c>
      <c r="K288" s="29">
        <v>1.9531E-4</v>
      </c>
      <c r="L288" s="28"/>
      <c r="M288" s="30">
        <v>30</v>
      </c>
      <c r="N288" s="28"/>
      <c r="O288" s="29">
        <v>1.8310312500000001E-5</v>
      </c>
    </row>
    <row r="289" spans="1:15" x14ac:dyDescent="0.25">
      <c r="A289" s="28">
        <v>3</v>
      </c>
      <c r="B289" s="28" t="s">
        <v>23</v>
      </c>
      <c r="C289" s="28"/>
      <c r="D289" s="28"/>
      <c r="E289" s="29">
        <v>3.3333330000000001E-2</v>
      </c>
      <c r="F289" s="28" t="s">
        <v>49</v>
      </c>
      <c r="G289" s="29">
        <v>3.125E-2</v>
      </c>
      <c r="H289" s="28" t="s">
        <v>49</v>
      </c>
      <c r="I289" s="29">
        <v>6.25E-2</v>
      </c>
      <c r="J289" s="28" t="s">
        <v>53</v>
      </c>
      <c r="K289" s="29">
        <v>6.5099999999999997E-5</v>
      </c>
      <c r="L289" s="28"/>
      <c r="M289" s="30">
        <v>15</v>
      </c>
      <c r="N289" s="28"/>
      <c r="O289" s="29">
        <v>6.1031249999999993E-6</v>
      </c>
    </row>
    <row r="290" spans="1:15" x14ac:dyDescent="0.25">
      <c r="A290" s="28">
        <v>3</v>
      </c>
      <c r="B290" s="28" t="s">
        <v>21</v>
      </c>
      <c r="C290" s="28"/>
      <c r="D290" s="28"/>
      <c r="E290" s="29">
        <v>3.3333330000000001E-2</v>
      </c>
      <c r="F290" s="28" t="s">
        <v>49</v>
      </c>
      <c r="G290" s="29">
        <v>3.125E-2</v>
      </c>
      <c r="H290" s="28" t="s">
        <v>49</v>
      </c>
      <c r="I290" s="29">
        <v>6.25E-2</v>
      </c>
      <c r="J290" s="28" t="s">
        <v>53</v>
      </c>
      <c r="K290" s="29">
        <v>6.5099999999999997E-5</v>
      </c>
      <c r="L290" s="28"/>
      <c r="M290" s="30">
        <v>15</v>
      </c>
      <c r="N290" s="28"/>
      <c r="O290" s="29">
        <v>6.1031249999999993E-6</v>
      </c>
    </row>
    <row r="291" spans="1:15" x14ac:dyDescent="0.25">
      <c r="A291" s="28">
        <v>3</v>
      </c>
      <c r="B291" s="28" t="s">
        <v>19</v>
      </c>
      <c r="C291" s="28"/>
      <c r="D291" s="28"/>
      <c r="E291" s="29">
        <v>3.3333330000000001E-2</v>
      </c>
      <c r="F291" s="28" t="s">
        <v>49</v>
      </c>
      <c r="G291" s="29">
        <v>3.125E-2</v>
      </c>
      <c r="H291" s="28" t="s">
        <v>49</v>
      </c>
      <c r="I291" s="29">
        <v>0.125</v>
      </c>
      <c r="J291" s="28" t="s">
        <v>53</v>
      </c>
      <c r="K291" s="29">
        <v>1.3020999999999999E-4</v>
      </c>
      <c r="L291" s="28"/>
      <c r="M291" s="30">
        <v>30</v>
      </c>
      <c r="N291" s="28"/>
      <c r="O291" s="29">
        <v>1.22071875E-5</v>
      </c>
    </row>
    <row r="292" spans="1:15" x14ac:dyDescent="0.25">
      <c r="A292" s="28">
        <v>3</v>
      </c>
      <c r="B292" s="28" t="s">
        <v>207</v>
      </c>
      <c r="C292" s="28" t="s">
        <v>35</v>
      </c>
      <c r="D292" s="28"/>
      <c r="E292" s="29">
        <v>0.05</v>
      </c>
      <c r="F292" s="28" t="s">
        <v>49</v>
      </c>
      <c r="G292" s="29">
        <v>3.125E-2</v>
      </c>
      <c r="H292" s="28" t="s">
        <v>49</v>
      </c>
      <c r="I292" s="29">
        <v>0.125</v>
      </c>
      <c r="J292" s="28" t="s">
        <v>53</v>
      </c>
      <c r="K292" s="29">
        <v>1.9531E-4</v>
      </c>
      <c r="L292" s="28"/>
      <c r="M292" s="30">
        <v>30</v>
      </c>
      <c r="N292" s="28"/>
      <c r="O292" s="29">
        <v>1.8310312500000001E-5</v>
      </c>
    </row>
    <row r="293" spans="1:15" x14ac:dyDescent="0.25">
      <c r="A293" s="28">
        <v>3</v>
      </c>
      <c r="B293" s="28" t="s">
        <v>25</v>
      </c>
      <c r="C293" s="28"/>
      <c r="D293" s="28"/>
      <c r="E293" s="29">
        <v>3.3333330000000001E-2</v>
      </c>
      <c r="F293" s="28" t="s">
        <v>49</v>
      </c>
      <c r="G293" s="29">
        <v>3.125E-2</v>
      </c>
      <c r="H293" s="28" t="s">
        <v>49</v>
      </c>
      <c r="I293" s="29">
        <v>0.16666666999999999</v>
      </c>
      <c r="J293" s="28" t="s">
        <v>53</v>
      </c>
      <c r="K293" s="29">
        <v>1.7361000000000001E-4</v>
      </c>
      <c r="L293" s="28"/>
      <c r="M293" s="30">
        <v>40.000000999999997</v>
      </c>
      <c r="N293" s="28"/>
      <c r="O293" s="29">
        <v>1.62759375E-5</v>
      </c>
    </row>
    <row r="294" spans="1:15" x14ac:dyDescent="0.25">
      <c r="A294" s="28">
        <v>3</v>
      </c>
      <c r="B294" s="28" t="s">
        <v>88</v>
      </c>
      <c r="C294" s="28"/>
      <c r="D294" s="28"/>
      <c r="E294" s="29">
        <v>3.3333330000000001E-2</v>
      </c>
      <c r="F294" s="28" t="s">
        <v>49</v>
      </c>
      <c r="G294" s="29">
        <v>3.125E-2</v>
      </c>
      <c r="H294" s="28" t="s">
        <v>49</v>
      </c>
      <c r="I294" s="29">
        <v>0.16666666999999999</v>
      </c>
      <c r="J294" s="28" t="s">
        <v>53</v>
      </c>
      <c r="K294" s="29">
        <v>1.7361000000000001E-4</v>
      </c>
      <c r="L294" s="28"/>
      <c r="M294" s="30">
        <v>40.000000999999997</v>
      </c>
      <c r="N294" s="28"/>
      <c r="O294" s="29">
        <v>1.62759375E-5</v>
      </c>
    </row>
    <row r="295" spans="1:15" x14ac:dyDescent="0.25">
      <c r="A295" s="28">
        <v>4</v>
      </c>
      <c r="B295" s="28" t="s">
        <v>199</v>
      </c>
      <c r="C295" s="28"/>
      <c r="D295" s="28"/>
      <c r="E295" s="29">
        <v>3.3333330000000001E-2</v>
      </c>
      <c r="F295" s="28" t="s">
        <v>49</v>
      </c>
      <c r="G295" s="29">
        <v>3.125E-2</v>
      </c>
      <c r="H295" s="28" t="s">
        <v>49</v>
      </c>
      <c r="I295" s="29">
        <v>1</v>
      </c>
      <c r="J295" s="28" t="s">
        <v>53</v>
      </c>
      <c r="K295" s="29">
        <v>1.04167E-3</v>
      </c>
      <c r="L295" s="28"/>
      <c r="M295" s="30">
        <v>80</v>
      </c>
      <c r="N295" s="28"/>
      <c r="O295" s="29">
        <v>3.2552187499999999E-5</v>
      </c>
    </row>
    <row r="296" spans="1:15" x14ac:dyDescent="0.25">
      <c r="A296" s="28">
        <v>14</v>
      </c>
      <c r="B296" s="28" t="s">
        <v>140</v>
      </c>
      <c r="C296" s="28"/>
      <c r="D296" s="28"/>
      <c r="E296" s="29">
        <v>0.05</v>
      </c>
      <c r="F296" s="28" t="s">
        <v>49</v>
      </c>
      <c r="G296" s="29">
        <v>3.125E-2</v>
      </c>
      <c r="H296" s="28" t="s">
        <v>49</v>
      </c>
      <c r="I296" s="29">
        <v>1</v>
      </c>
      <c r="J296" s="28" t="s">
        <v>53</v>
      </c>
      <c r="K296" s="29">
        <v>1.5625000000000001E-3</v>
      </c>
      <c r="L296" s="28"/>
      <c r="M296" s="30">
        <v>240</v>
      </c>
      <c r="N296" s="28"/>
      <c r="O296" s="29">
        <v>1.4648437499999999E-4</v>
      </c>
    </row>
    <row r="297" spans="1:15" x14ac:dyDescent="0.25">
      <c r="A297" s="28">
        <v>15</v>
      </c>
      <c r="B297" s="28" t="s">
        <v>227</v>
      </c>
      <c r="C297" s="28"/>
      <c r="D297" s="28"/>
      <c r="E297" s="29">
        <v>0.05</v>
      </c>
      <c r="F297" s="28" t="s">
        <v>49</v>
      </c>
      <c r="G297" s="29">
        <v>3.125E-2</v>
      </c>
      <c r="H297" s="28" t="s">
        <v>49</v>
      </c>
      <c r="I297" s="29">
        <v>1</v>
      </c>
      <c r="J297" s="28" t="s">
        <v>53</v>
      </c>
      <c r="K297" s="29">
        <v>1.5625000000000001E-3</v>
      </c>
      <c r="L297" s="28"/>
      <c r="M297" s="30">
        <v>40</v>
      </c>
      <c r="N297" s="28"/>
      <c r="O297" s="29">
        <v>2.4414062500000001E-5</v>
      </c>
    </row>
    <row r="298" spans="1:15" x14ac:dyDescent="0.25">
      <c r="A298" s="28">
        <v>16</v>
      </c>
      <c r="B298" s="28" t="s">
        <v>60</v>
      </c>
      <c r="C298" s="28"/>
      <c r="D298" s="28"/>
      <c r="E298" s="29">
        <v>0.02</v>
      </c>
      <c r="F298" s="28" t="s">
        <v>49</v>
      </c>
      <c r="G298" s="29">
        <v>3.125E-2</v>
      </c>
      <c r="H298" s="28" t="s">
        <v>49</v>
      </c>
      <c r="I298" s="29">
        <v>8.3333329999999997E-2</v>
      </c>
      <c r="J298" s="28" t="s">
        <v>53</v>
      </c>
      <c r="K298" s="29">
        <v>5.2080000000000003E-5</v>
      </c>
      <c r="L298" s="28"/>
      <c r="M298" s="30">
        <v>10</v>
      </c>
      <c r="N298" s="28"/>
      <c r="O298" s="29">
        <v>2.4412500000000001E-6</v>
      </c>
    </row>
    <row r="299" spans="1:15" x14ac:dyDescent="0.25">
      <c r="A299" s="28">
        <v>16</v>
      </c>
      <c r="B299" s="28" t="s">
        <v>228</v>
      </c>
      <c r="C299" s="28"/>
      <c r="D299" s="28"/>
      <c r="E299" s="29">
        <v>0.05</v>
      </c>
      <c r="F299" s="28" t="s">
        <v>49</v>
      </c>
      <c r="G299" s="29">
        <v>3.125E-2</v>
      </c>
      <c r="H299" s="28" t="s">
        <v>49</v>
      </c>
      <c r="I299" s="29">
        <v>0.33333332999999998</v>
      </c>
      <c r="J299" s="28" t="s">
        <v>53</v>
      </c>
      <c r="K299" s="29">
        <v>5.2083000000000001E-4</v>
      </c>
      <c r="L299" s="28"/>
      <c r="M299" s="30">
        <v>40</v>
      </c>
      <c r="N299" s="28"/>
      <c r="O299" s="29">
        <v>2.4413906249999999E-5</v>
      </c>
    </row>
    <row r="300" spans="1:15" x14ac:dyDescent="0.25">
      <c r="A300" s="28">
        <v>17</v>
      </c>
      <c r="B300" s="28" t="s">
        <v>9</v>
      </c>
      <c r="C300" s="28"/>
      <c r="D300" s="28"/>
      <c r="E300" s="29">
        <v>0.05</v>
      </c>
      <c r="F300" s="28" t="s">
        <v>49</v>
      </c>
      <c r="G300" s="29">
        <v>3.125E-2</v>
      </c>
      <c r="H300" s="28" t="s">
        <v>49</v>
      </c>
      <c r="I300" s="29">
        <v>1</v>
      </c>
      <c r="J300" s="28" t="s">
        <v>53</v>
      </c>
      <c r="K300" s="29">
        <v>1.5625000000000001E-3</v>
      </c>
      <c r="L300" s="28"/>
      <c r="M300" s="30">
        <v>240</v>
      </c>
      <c r="N300" s="28"/>
      <c r="O300" s="29">
        <v>1.4648437499999999E-4</v>
      </c>
    </row>
    <row r="301" spans="1:15" x14ac:dyDescent="0.25">
      <c r="A301" s="28">
        <v>18</v>
      </c>
      <c r="B301" s="28" t="s">
        <v>229</v>
      </c>
      <c r="C301" s="28"/>
      <c r="D301" s="28"/>
      <c r="E301" s="29">
        <v>0.05</v>
      </c>
      <c r="F301" s="28" t="s">
        <v>49</v>
      </c>
      <c r="G301" s="29">
        <v>3.125E-2</v>
      </c>
      <c r="H301" s="28" t="s">
        <v>49</v>
      </c>
      <c r="I301" s="29">
        <v>1</v>
      </c>
      <c r="J301" s="28" t="s">
        <v>53</v>
      </c>
      <c r="K301" s="29">
        <v>1.5625000000000001E-3</v>
      </c>
      <c r="L301" s="28"/>
      <c r="M301" s="30">
        <v>320</v>
      </c>
      <c r="N301" s="28"/>
      <c r="O301" s="29">
        <v>1.9531250000000001E-4</v>
      </c>
    </row>
    <row r="302" spans="1:15" x14ac:dyDescent="0.25">
      <c r="A302" s="28">
        <v>19</v>
      </c>
      <c r="B302" s="28" t="s">
        <v>216</v>
      </c>
      <c r="C302" s="28"/>
      <c r="D302" s="28"/>
      <c r="E302" s="29">
        <v>3.3333330000000001E-2</v>
      </c>
      <c r="F302" s="28" t="s">
        <v>49</v>
      </c>
      <c r="G302" s="29">
        <v>3.125E-2</v>
      </c>
      <c r="H302" s="28" t="s">
        <v>49</v>
      </c>
      <c r="I302" s="29">
        <v>1</v>
      </c>
      <c r="J302" s="28" t="s">
        <v>53</v>
      </c>
      <c r="K302" s="29">
        <v>1.04167E-3</v>
      </c>
      <c r="L302" s="28"/>
      <c r="M302" s="30">
        <v>160</v>
      </c>
      <c r="N302" s="28"/>
      <c r="O302" s="29">
        <v>6.5104374999999998E-5</v>
      </c>
    </row>
    <row r="303" spans="1:15" x14ac:dyDescent="0.25">
      <c r="A303" s="28">
        <v>20</v>
      </c>
      <c r="B303" s="28" t="s">
        <v>230</v>
      </c>
      <c r="C303" s="28"/>
      <c r="D303" s="28"/>
      <c r="E303" s="29">
        <v>0.05</v>
      </c>
      <c r="F303" s="28" t="s">
        <v>49</v>
      </c>
      <c r="G303" s="29">
        <v>3.125E-2</v>
      </c>
      <c r="H303" s="28" t="s">
        <v>49</v>
      </c>
      <c r="I303" s="29">
        <v>1</v>
      </c>
      <c r="J303" s="28" t="s">
        <v>53</v>
      </c>
      <c r="K303" s="29">
        <v>1.5625000000000001E-3</v>
      </c>
      <c r="L303" s="28"/>
      <c r="M303" s="30">
        <v>160</v>
      </c>
      <c r="N303" s="28"/>
      <c r="O303" s="29">
        <v>9.7656250000000005E-5</v>
      </c>
    </row>
    <row r="304" spans="1:15" x14ac:dyDescent="0.25">
      <c r="A304" s="18">
        <v>28</v>
      </c>
      <c r="B304" s="18" t="s">
        <v>117</v>
      </c>
      <c r="C304" s="18"/>
      <c r="D304" s="18"/>
      <c r="E304" s="19">
        <v>3.3333330000000001E-2</v>
      </c>
      <c r="F304" s="18" t="s">
        <v>49</v>
      </c>
      <c r="G304" s="19">
        <v>3.125E-2</v>
      </c>
      <c r="H304" s="18" t="s">
        <v>49</v>
      </c>
      <c r="I304" s="19">
        <v>1</v>
      </c>
      <c r="J304" s="18" t="s">
        <v>53</v>
      </c>
      <c r="K304" s="19">
        <v>1.04167E-3</v>
      </c>
      <c r="L304" s="18"/>
      <c r="M304" s="20">
        <v>480</v>
      </c>
      <c r="N304" s="18"/>
      <c r="O304" s="19">
        <v>1.9531312500000001E-4</v>
      </c>
    </row>
    <row r="305" spans="1:15" x14ac:dyDescent="0.25">
      <c r="A305" s="21" t="s">
        <v>61</v>
      </c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3">
        <v>1.1281055687499999E-3</v>
      </c>
    </row>
    <row r="307" spans="1:15" x14ac:dyDescent="0.25">
      <c r="A307" s="26" t="s">
        <v>57</v>
      </c>
      <c r="B307" s="44" t="s">
        <v>275</v>
      </c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6"/>
    </row>
    <row r="308" spans="1:15" x14ac:dyDescent="0.25">
      <c r="A308" s="27" t="s">
        <v>214</v>
      </c>
      <c r="B308" s="41" t="s">
        <v>68</v>
      </c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3"/>
    </row>
    <row r="310" spans="1:15" x14ac:dyDescent="0.25">
      <c r="A310" s="18">
        <v>16</v>
      </c>
      <c r="B310" s="18" t="s">
        <v>60</v>
      </c>
      <c r="C310" s="18"/>
      <c r="D310" s="18"/>
      <c r="E310" s="19">
        <v>0.03</v>
      </c>
      <c r="F310" s="18" t="s">
        <v>49</v>
      </c>
      <c r="G310" s="19">
        <v>2.5000000000000001E-2</v>
      </c>
      <c r="H310" s="18" t="s">
        <v>49</v>
      </c>
      <c r="I310" s="19">
        <v>8.3333329999999997E-2</v>
      </c>
      <c r="J310" s="18" t="s">
        <v>53</v>
      </c>
      <c r="K310" s="19">
        <v>6.2500000000000001E-5</v>
      </c>
      <c r="L310" s="18"/>
      <c r="M310" s="20">
        <v>10</v>
      </c>
      <c r="N310" s="18"/>
      <c r="O310" s="19">
        <v>2.9296875000000001E-6</v>
      </c>
    </row>
    <row r="311" spans="1:15" x14ac:dyDescent="0.25">
      <c r="A311" s="21" t="s">
        <v>61</v>
      </c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3">
        <v>2.9296875000000001E-6</v>
      </c>
    </row>
    <row r="313" spans="1:15" x14ac:dyDescent="0.25">
      <c r="A313" s="26" t="s">
        <v>57</v>
      </c>
      <c r="B313" s="44" t="s">
        <v>276</v>
      </c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6"/>
    </row>
    <row r="314" spans="1:15" x14ac:dyDescent="0.25">
      <c r="A314" s="27" t="s">
        <v>214</v>
      </c>
      <c r="B314" s="41" t="s">
        <v>234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3"/>
    </row>
    <row r="316" spans="1:15" x14ac:dyDescent="0.25">
      <c r="A316" s="28">
        <v>2</v>
      </c>
      <c r="B316" s="28" t="s">
        <v>235</v>
      </c>
      <c r="C316" s="28" t="s">
        <v>41</v>
      </c>
      <c r="D316" s="28"/>
      <c r="E316" s="29">
        <v>8.3333299999999999E-3</v>
      </c>
      <c r="F316" s="28" t="s">
        <v>49</v>
      </c>
      <c r="G316" s="29">
        <v>3.0000000000000001E-3</v>
      </c>
      <c r="H316" s="28" t="s">
        <v>49</v>
      </c>
      <c r="I316" s="29">
        <v>0.2</v>
      </c>
      <c r="J316" s="28" t="s">
        <v>53</v>
      </c>
      <c r="K316" s="29">
        <v>5.0000000000000004E-6</v>
      </c>
      <c r="L316" s="28"/>
      <c r="M316" s="30">
        <v>63.73</v>
      </c>
      <c r="N316" s="28"/>
      <c r="O316" s="29">
        <v>6.2236328125000004E-7</v>
      </c>
    </row>
    <row r="317" spans="1:15" x14ac:dyDescent="0.25">
      <c r="A317" s="18">
        <v>2</v>
      </c>
      <c r="B317" s="18" t="s">
        <v>31</v>
      </c>
      <c r="C317" s="18"/>
      <c r="D317" s="18"/>
      <c r="E317" s="19">
        <v>8.3333299999999999E-3</v>
      </c>
      <c r="F317" s="18" t="s">
        <v>49</v>
      </c>
      <c r="G317" s="19">
        <v>3.0000000000000001E-3</v>
      </c>
      <c r="H317" s="18" t="s">
        <v>49</v>
      </c>
      <c r="I317" s="19">
        <v>7.4999999999999997E-2</v>
      </c>
      <c r="J317" s="18" t="s">
        <v>53</v>
      </c>
      <c r="K317" s="19">
        <v>1.8700000000000001E-6</v>
      </c>
      <c r="L317" s="18"/>
      <c r="M317" s="20">
        <v>23.89875</v>
      </c>
      <c r="N317" s="18"/>
      <c r="O317" s="19">
        <v>2.3276386718750001E-7</v>
      </c>
    </row>
    <row r="318" spans="1:15" x14ac:dyDescent="0.25">
      <c r="A318" s="21" t="s">
        <v>61</v>
      </c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3">
        <v>8.5512714843750002E-7</v>
      </c>
    </row>
    <row r="320" spans="1:15" x14ac:dyDescent="0.25">
      <c r="A320" s="26" t="s">
        <v>57</v>
      </c>
      <c r="B320" s="44" t="s">
        <v>277</v>
      </c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6"/>
    </row>
    <row r="321" spans="1:15" x14ac:dyDescent="0.25">
      <c r="A321" s="27" t="s">
        <v>214</v>
      </c>
      <c r="B321" s="41" t="s">
        <v>278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3"/>
    </row>
    <row r="323" spans="1:15" x14ac:dyDescent="0.25">
      <c r="A323" s="18">
        <v>16</v>
      </c>
      <c r="B323" s="18" t="s">
        <v>238</v>
      </c>
      <c r="C323" s="18"/>
      <c r="D323" s="18"/>
      <c r="E323" s="19">
        <v>5.7142859999999997E-2</v>
      </c>
      <c r="F323" s="18" t="s">
        <v>49</v>
      </c>
      <c r="G323" s="19">
        <v>0.15833332999999999</v>
      </c>
      <c r="H323" s="18" t="s">
        <v>49</v>
      </c>
      <c r="I323" s="19">
        <v>0.58333332999999998</v>
      </c>
      <c r="J323" s="18" t="s">
        <v>53</v>
      </c>
      <c r="K323" s="19">
        <v>5.2777800000000001E-3</v>
      </c>
      <c r="L323" s="18"/>
      <c r="M323" s="20">
        <v>70</v>
      </c>
      <c r="N323" s="18"/>
      <c r="O323" s="19">
        <v>2.4739593750000002E-4</v>
      </c>
    </row>
    <row r="324" spans="1:15" x14ac:dyDescent="0.25">
      <c r="A324" s="21" t="s">
        <v>61</v>
      </c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3">
        <v>2.4739593750000002E-4</v>
      </c>
    </row>
    <row r="326" spans="1:15" x14ac:dyDescent="0.25">
      <c r="A326" s="26" t="s">
        <v>57</v>
      </c>
      <c r="B326" s="44" t="s">
        <v>279</v>
      </c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6"/>
    </row>
    <row r="327" spans="1:15" x14ac:dyDescent="0.25">
      <c r="A327" s="27" t="s">
        <v>214</v>
      </c>
      <c r="B327" s="41" t="s">
        <v>68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3"/>
    </row>
    <row r="329" spans="1:15" x14ac:dyDescent="0.25">
      <c r="A329" s="28">
        <v>2</v>
      </c>
      <c r="B329" s="28" t="s">
        <v>125</v>
      </c>
      <c r="C329" s="28" t="s">
        <v>242</v>
      </c>
      <c r="D329" s="28"/>
      <c r="E329" s="29">
        <v>3.0000000000000001E-3</v>
      </c>
      <c r="F329" s="28" t="s">
        <v>49</v>
      </c>
      <c r="G329" s="29">
        <v>0.5</v>
      </c>
      <c r="H329" s="28" t="s">
        <v>49</v>
      </c>
      <c r="I329" s="29">
        <v>0.1</v>
      </c>
      <c r="J329" s="28" t="s">
        <v>53</v>
      </c>
      <c r="K329" s="29">
        <v>1.4999999999999999E-4</v>
      </c>
      <c r="L329" s="28"/>
      <c r="M329" s="30">
        <v>31.864999999999998</v>
      </c>
      <c r="N329" s="28"/>
      <c r="O329" s="29">
        <v>1.8670898437500001E-5</v>
      </c>
    </row>
    <row r="330" spans="1:15" x14ac:dyDescent="0.25">
      <c r="A330" s="18">
        <v>16</v>
      </c>
      <c r="B330" s="18" t="s">
        <v>60</v>
      </c>
      <c r="C330" s="18"/>
      <c r="D330" s="18"/>
      <c r="E330" s="19">
        <v>0.03</v>
      </c>
      <c r="F330" s="18" t="s">
        <v>49</v>
      </c>
      <c r="G330" s="19">
        <v>0.05</v>
      </c>
      <c r="H330" s="18" t="s">
        <v>49</v>
      </c>
      <c r="I330" s="19">
        <v>8.3333329999999997E-2</v>
      </c>
      <c r="J330" s="18" t="s">
        <v>53</v>
      </c>
      <c r="K330" s="19">
        <v>1.25E-4</v>
      </c>
      <c r="L330" s="18"/>
      <c r="M330" s="20">
        <v>10</v>
      </c>
      <c r="N330" s="18"/>
      <c r="O330" s="19">
        <v>5.8593750000000001E-6</v>
      </c>
    </row>
    <row r="331" spans="1:15" x14ac:dyDescent="0.25">
      <c r="A331" s="21" t="s">
        <v>61</v>
      </c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3">
        <v>2.4530273437499999E-5</v>
      </c>
    </row>
    <row r="333" spans="1:15" x14ac:dyDescent="0.25">
      <c r="A333" s="26" t="s">
        <v>57</v>
      </c>
      <c r="B333" s="44" t="s">
        <v>280</v>
      </c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6"/>
    </row>
    <row r="334" spans="1:15" x14ac:dyDescent="0.25">
      <c r="A334" s="27" t="s">
        <v>214</v>
      </c>
      <c r="B334" s="41" t="s">
        <v>281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3"/>
    </row>
    <row r="336" spans="1:15" x14ac:dyDescent="0.25">
      <c r="A336" s="18">
        <v>16</v>
      </c>
      <c r="B336" s="18" t="s">
        <v>238</v>
      </c>
      <c r="C336" s="18"/>
      <c r="D336" s="18"/>
      <c r="E336" s="19">
        <v>5.7142859999999997E-2</v>
      </c>
      <c r="F336" s="18" t="s">
        <v>49</v>
      </c>
      <c r="G336" s="19">
        <v>0.16666666999999999</v>
      </c>
      <c r="H336" s="18" t="s">
        <v>49</v>
      </c>
      <c r="I336" s="19">
        <v>0.58333332999999998</v>
      </c>
      <c r="J336" s="18" t="s">
        <v>53</v>
      </c>
      <c r="K336" s="19">
        <v>5.5555600000000002E-3</v>
      </c>
      <c r="L336" s="18"/>
      <c r="M336" s="20">
        <v>70</v>
      </c>
      <c r="N336" s="18"/>
      <c r="O336" s="19">
        <v>2.60416875E-4</v>
      </c>
    </row>
    <row r="337" spans="1:15" x14ac:dyDescent="0.25">
      <c r="A337" s="21" t="s">
        <v>61</v>
      </c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3">
        <v>2.60416875E-4</v>
      </c>
    </row>
    <row r="339" spans="1:15" x14ac:dyDescent="0.25">
      <c r="A339" s="26" t="s">
        <v>57</v>
      </c>
      <c r="B339" s="44" t="s">
        <v>282</v>
      </c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6"/>
    </row>
    <row r="340" spans="1:15" x14ac:dyDescent="0.25">
      <c r="A340" s="27" t="s">
        <v>214</v>
      </c>
      <c r="B340" s="41" t="s">
        <v>283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3"/>
    </row>
    <row r="342" spans="1:15" x14ac:dyDescent="0.25">
      <c r="A342" s="28">
        <v>2</v>
      </c>
      <c r="B342" s="28" t="s">
        <v>125</v>
      </c>
      <c r="C342" s="28" t="s">
        <v>242</v>
      </c>
      <c r="D342" s="28"/>
      <c r="E342" s="29">
        <v>3.0000000000000001E-3</v>
      </c>
      <c r="F342" s="28" t="s">
        <v>49</v>
      </c>
      <c r="G342" s="29">
        <v>0.5</v>
      </c>
      <c r="H342" s="28" t="s">
        <v>49</v>
      </c>
      <c r="I342" s="29">
        <v>0.1</v>
      </c>
      <c r="J342" s="28" t="s">
        <v>53</v>
      </c>
      <c r="K342" s="29">
        <v>1.4999999999999999E-4</v>
      </c>
      <c r="L342" s="28"/>
      <c r="M342" s="30">
        <v>31.864999999999998</v>
      </c>
      <c r="N342" s="28"/>
      <c r="O342" s="29">
        <v>1.8670898437500001E-5</v>
      </c>
    </row>
    <row r="343" spans="1:15" x14ac:dyDescent="0.25">
      <c r="A343" s="18">
        <v>16</v>
      </c>
      <c r="B343" s="18" t="s">
        <v>60</v>
      </c>
      <c r="C343" s="18"/>
      <c r="D343" s="18"/>
      <c r="E343" s="19">
        <v>0.03</v>
      </c>
      <c r="F343" s="18" t="s">
        <v>49</v>
      </c>
      <c r="G343" s="19">
        <v>0.05</v>
      </c>
      <c r="H343" s="18" t="s">
        <v>49</v>
      </c>
      <c r="I343" s="19">
        <v>8.3333329999999997E-2</v>
      </c>
      <c r="J343" s="18" t="s">
        <v>53</v>
      </c>
      <c r="K343" s="19">
        <v>1.25E-4</v>
      </c>
      <c r="L343" s="18"/>
      <c r="M343" s="20">
        <v>10</v>
      </c>
      <c r="N343" s="18"/>
      <c r="O343" s="19">
        <v>5.8593750000000001E-6</v>
      </c>
    </row>
    <row r="344" spans="1:15" x14ac:dyDescent="0.25">
      <c r="A344" s="21" t="s">
        <v>61</v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3">
        <v>2.4530273437499999E-5</v>
      </c>
    </row>
    <row r="346" spans="1:15" x14ac:dyDescent="0.25">
      <c r="A346" s="26" t="s">
        <v>57</v>
      </c>
      <c r="B346" s="44" t="s">
        <v>284</v>
      </c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6"/>
    </row>
    <row r="347" spans="1:15" x14ac:dyDescent="0.25">
      <c r="A347" s="27" t="s">
        <v>214</v>
      </c>
      <c r="B347" s="41" t="s">
        <v>285</v>
      </c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3"/>
    </row>
    <row r="349" spans="1:15" x14ac:dyDescent="0.25">
      <c r="A349" s="28">
        <v>16</v>
      </c>
      <c r="B349" s="28" t="s">
        <v>238</v>
      </c>
      <c r="C349" s="28"/>
      <c r="D349" s="28"/>
      <c r="E349" s="29">
        <v>5.7142859999999997E-2</v>
      </c>
      <c r="F349" s="28" t="s">
        <v>49</v>
      </c>
      <c r="G349" s="29">
        <v>6.6666669999999997E-2</v>
      </c>
      <c r="H349" s="28" t="s">
        <v>49</v>
      </c>
      <c r="I349" s="29">
        <v>0.58333332999999998</v>
      </c>
      <c r="J349" s="28" t="s">
        <v>53</v>
      </c>
      <c r="K349" s="29">
        <v>2.22222E-3</v>
      </c>
      <c r="L349" s="28"/>
      <c r="M349" s="30">
        <v>70</v>
      </c>
      <c r="N349" s="28"/>
      <c r="O349" s="29">
        <v>1.0416656249999999E-4</v>
      </c>
    </row>
    <row r="350" spans="1:15" x14ac:dyDescent="0.25">
      <c r="A350" s="18">
        <v>16</v>
      </c>
      <c r="B350" s="18" t="s">
        <v>238</v>
      </c>
      <c r="C350" s="18"/>
      <c r="D350" s="18"/>
      <c r="E350" s="19">
        <v>5.7142859999999997E-2</v>
      </c>
      <c r="F350" s="18" t="s">
        <v>49</v>
      </c>
      <c r="G350" s="19">
        <v>9.3749999999999997E-3</v>
      </c>
      <c r="H350" s="18" t="s">
        <v>49</v>
      </c>
      <c r="I350" s="19">
        <v>0.58333332999999998</v>
      </c>
      <c r="J350" s="18" t="s">
        <v>53</v>
      </c>
      <c r="K350" s="19">
        <v>3.1250000000000001E-4</v>
      </c>
      <c r="L350" s="18"/>
      <c r="M350" s="20">
        <v>70</v>
      </c>
      <c r="N350" s="18"/>
      <c r="O350" s="19">
        <v>1.4648437499999999E-5</v>
      </c>
    </row>
    <row r="351" spans="1:15" x14ac:dyDescent="0.25">
      <c r="A351" s="21" t="s">
        <v>61</v>
      </c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3">
        <v>1.1881500000000001E-4</v>
      </c>
    </row>
    <row r="353" spans="1:15" x14ac:dyDescent="0.25">
      <c r="A353" s="26" t="s">
        <v>57</v>
      </c>
      <c r="B353" s="44" t="s">
        <v>286</v>
      </c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6"/>
    </row>
    <row r="354" spans="1:15" x14ac:dyDescent="0.25">
      <c r="A354" s="27" t="s">
        <v>214</v>
      </c>
      <c r="B354" s="41" t="s">
        <v>285</v>
      </c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3"/>
    </row>
    <row r="356" spans="1:15" x14ac:dyDescent="0.25">
      <c r="A356" s="18">
        <v>16</v>
      </c>
      <c r="B356" s="18" t="s">
        <v>238</v>
      </c>
      <c r="C356" s="18"/>
      <c r="D356" s="18"/>
      <c r="E356" s="19">
        <v>5.7142859999999997E-2</v>
      </c>
      <c r="F356" s="18" t="s">
        <v>49</v>
      </c>
      <c r="G356" s="19">
        <v>7.3958330000000003E-2</v>
      </c>
      <c r="H356" s="18" t="s">
        <v>49</v>
      </c>
      <c r="I356" s="19">
        <v>0.58333332999999998</v>
      </c>
      <c r="J356" s="18" t="s">
        <v>53</v>
      </c>
      <c r="K356" s="19">
        <v>2.4652799999999998E-3</v>
      </c>
      <c r="L356" s="18"/>
      <c r="M356" s="20">
        <v>70</v>
      </c>
      <c r="N356" s="18"/>
      <c r="O356" s="19">
        <v>1.1556E-4</v>
      </c>
    </row>
    <row r="357" spans="1:15" x14ac:dyDescent="0.25">
      <c r="A357" s="21" t="s">
        <v>61</v>
      </c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3">
        <v>1.1556E-4</v>
      </c>
    </row>
    <row r="359" spans="1:15" x14ac:dyDescent="0.25">
      <c r="A359" s="26" t="s">
        <v>57</v>
      </c>
      <c r="B359" s="44" t="s">
        <v>287</v>
      </c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6"/>
    </row>
    <row r="360" spans="1:15" x14ac:dyDescent="0.25">
      <c r="A360" s="27" t="s">
        <v>214</v>
      </c>
      <c r="B360" s="41" t="s">
        <v>285</v>
      </c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3"/>
    </row>
    <row r="362" spans="1:15" x14ac:dyDescent="0.25">
      <c r="A362" s="18">
        <v>16</v>
      </c>
      <c r="B362" s="18" t="s">
        <v>238</v>
      </c>
      <c r="C362" s="18"/>
      <c r="D362" s="18"/>
      <c r="E362" s="19">
        <v>5.7142859999999997E-2</v>
      </c>
      <c r="F362" s="18" t="s">
        <v>49</v>
      </c>
      <c r="G362" s="19">
        <v>0.1</v>
      </c>
      <c r="H362" s="18" t="s">
        <v>49</v>
      </c>
      <c r="I362" s="19">
        <v>0.58333332999999998</v>
      </c>
      <c r="J362" s="18" t="s">
        <v>53</v>
      </c>
      <c r="K362" s="19">
        <v>3.3333299999999998E-3</v>
      </c>
      <c r="L362" s="18"/>
      <c r="M362" s="20">
        <v>70</v>
      </c>
      <c r="N362" s="18"/>
      <c r="O362" s="19">
        <v>1.5624984375E-4</v>
      </c>
    </row>
    <row r="363" spans="1:15" x14ac:dyDescent="0.25">
      <c r="A363" s="21" t="s">
        <v>61</v>
      </c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3">
        <v>1.5624984375E-4</v>
      </c>
    </row>
    <row r="365" spans="1:15" x14ac:dyDescent="0.25">
      <c r="A365" s="26" t="s">
        <v>57</v>
      </c>
      <c r="B365" s="44" t="s">
        <v>288</v>
      </c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6"/>
    </row>
    <row r="366" spans="1:15" x14ac:dyDescent="0.25">
      <c r="A366" s="27" t="s">
        <v>214</v>
      </c>
      <c r="B366" s="41" t="s">
        <v>289</v>
      </c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3"/>
    </row>
    <row r="368" spans="1:15" x14ac:dyDescent="0.25">
      <c r="A368" s="18">
        <v>16</v>
      </c>
      <c r="B368" s="18" t="s">
        <v>238</v>
      </c>
      <c r="C368" s="18"/>
      <c r="D368" s="18"/>
      <c r="E368" s="19">
        <v>5.7142859999999997E-2</v>
      </c>
      <c r="F368" s="18" t="s">
        <v>49</v>
      </c>
      <c r="G368" s="19">
        <v>8.3333329999999997E-2</v>
      </c>
      <c r="H368" s="18" t="s">
        <v>49</v>
      </c>
      <c r="I368" s="19">
        <v>0.58333332999999998</v>
      </c>
      <c r="J368" s="18" t="s">
        <v>53</v>
      </c>
      <c r="K368" s="19">
        <v>2.7777800000000001E-3</v>
      </c>
      <c r="L368" s="18"/>
      <c r="M368" s="20">
        <v>70</v>
      </c>
      <c r="N368" s="18"/>
      <c r="O368" s="19">
        <v>1.302084375E-4</v>
      </c>
    </row>
    <row r="369" spans="1:15" x14ac:dyDescent="0.25">
      <c r="A369" s="21" t="s">
        <v>61</v>
      </c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3">
        <v>1.302084375E-4</v>
      </c>
    </row>
    <row r="371" spans="1:15" x14ac:dyDescent="0.25">
      <c r="A371" s="26" t="s">
        <v>57</v>
      </c>
      <c r="B371" s="44" t="s">
        <v>290</v>
      </c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6"/>
    </row>
    <row r="372" spans="1:15" x14ac:dyDescent="0.25">
      <c r="A372" s="27" t="s">
        <v>214</v>
      </c>
      <c r="B372" s="41" t="s">
        <v>257</v>
      </c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3"/>
    </row>
    <row r="374" spans="1:15" x14ac:dyDescent="0.25">
      <c r="A374" s="18">
        <v>16</v>
      </c>
      <c r="B374" s="18" t="s">
        <v>238</v>
      </c>
      <c r="C374" s="18"/>
      <c r="D374" s="18"/>
      <c r="E374" s="19">
        <v>5.7142859999999997E-2</v>
      </c>
      <c r="F374" s="18" t="s">
        <v>49</v>
      </c>
      <c r="G374" s="19">
        <v>8.3333329999999997E-2</v>
      </c>
      <c r="H374" s="18" t="s">
        <v>49</v>
      </c>
      <c r="I374" s="19">
        <v>0.58333332999999998</v>
      </c>
      <c r="J374" s="18" t="s">
        <v>53</v>
      </c>
      <c r="K374" s="19">
        <v>2.7777800000000001E-3</v>
      </c>
      <c r="L374" s="18"/>
      <c r="M374" s="20">
        <v>70</v>
      </c>
      <c r="N374" s="18"/>
      <c r="O374" s="19">
        <v>1.302084375E-4</v>
      </c>
    </row>
    <row r="375" spans="1:15" x14ac:dyDescent="0.25">
      <c r="A375" s="21" t="s">
        <v>61</v>
      </c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3">
        <v>1.302084375E-4</v>
      </c>
    </row>
    <row r="377" spans="1:15" x14ac:dyDescent="0.25">
      <c r="A377" s="26" t="s">
        <v>57</v>
      </c>
      <c r="B377" s="44" t="s">
        <v>291</v>
      </c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6"/>
    </row>
    <row r="378" spans="1:15" x14ac:dyDescent="0.25">
      <c r="A378" s="27" t="s">
        <v>214</v>
      </c>
      <c r="B378" s="41" t="s">
        <v>68</v>
      </c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3"/>
    </row>
    <row r="380" spans="1:15" x14ac:dyDescent="0.25">
      <c r="A380" s="28">
        <v>1</v>
      </c>
      <c r="B380" s="28" t="s">
        <v>126</v>
      </c>
      <c r="C380" s="28"/>
      <c r="D380" s="28"/>
      <c r="E380" s="29">
        <v>3.3333330000000001E-2</v>
      </c>
      <c r="F380" s="28" t="s">
        <v>49</v>
      </c>
      <c r="G380" s="29">
        <v>6.25E-2</v>
      </c>
      <c r="H380" s="28" t="s">
        <v>49</v>
      </c>
      <c r="I380" s="29">
        <v>1</v>
      </c>
      <c r="J380" s="28" t="s">
        <v>53</v>
      </c>
      <c r="K380" s="29">
        <v>2.08333E-3</v>
      </c>
      <c r="L380" s="28"/>
      <c r="M380" s="30">
        <v>1.35</v>
      </c>
      <c r="N380" s="28"/>
      <c r="O380" s="29">
        <v>1.0986310546875E-6</v>
      </c>
    </row>
    <row r="381" spans="1:15" x14ac:dyDescent="0.25">
      <c r="A381" s="28">
        <v>2</v>
      </c>
      <c r="B381" s="28" t="s">
        <v>226</v>
      </c>
      <c r="C381" s="28"/>
      <c r="D381" s="28"/>
      <c r="E381" s="29">
        <v>3.3333330000000001E-2</v>
      </c>
      <c r="F381" s="28" t="s">
        <v>49</v>
      </c>
      <c r="G381" s="29">
        <v>6.25E-2</v>
      </c>
      <c r="H381" s="28" t="s">
        <v>49</v>
      </c>
      <c r="I381" s="29">
        <v>0.52500000000000002</v>
      </c>
      <c r="J381" s="28" t="s">
        <v>53</v>
      </c>
      <c r="K381" s="29">
        <v>1.0937500000000001E-3</v>
      </c>
      <c r="L381" s="28"/>
      <c r="M381" s="30">
        <v>167.29124999999999</v>
      </c>
      <c r="N381" s="28"/>
      <c r="O381" s="29">
        <v>1.361419677734375E-4</v>
      </c>
    </row>
    <row r="382" spans="1:15" x14ac:dyDescent="0.25">
      <c r="A382" s="28">
        <v>2</v>
      </c>
      <c r="B382" s="28" t="s">
        <v>29</v>
      </c>
      <c r="C382" s="28"/>
      <c r="D382" s="28"/>
      <c r="E382" s="29">
        <v>0.05</v>
      </c>
      <c r="F382" s="28" t="s">
        <v>49</v>
      </c>
      <c r="G382" s="29">
        <v>6.25E-2</v>
      </c>
      <c r="H382" s="28" t="s">
        <v>49</v>
      </c>
      <c r="I382" s="29">
        <v>0.1</v>
      </c>
      <c r="J382" s="28" t="s">
        <v>53</v>
      </c>
      <c r="K382" s="29">
        <v>3.1250000000000001E-4</v>
      </c>
      <c r="L382" s="28"/>
      <c r="M382" s="30">
        <v>31.864999999999998</v>
      </c>
      <c r="N382" s="28"/>
      <c r="O382" s="29">
        <v>3.8897705078124999E-5</v>
      </c>
    </row>
    <row r="383" spans="1:15" x14ac:dyDescent="0.25">
      <c r="A383" s="28">
        <v>3</v>
      </c>
      <c r="B383" s="28" t="s">
        <v>19</v>
      </c>
      <c r="C383" s="28"/>
      <c r="D383" s="28"/>
      <c r="E383" s="29">
        <v>3.3333330000000001E-2</v>
      </c>
      <c r="F383" s="28" t="s">
        <v>49</v>
      </c>
      <c r="G383" s="29">
        <v>6.25E-2</v>
      </c>
      <c r="H383" s="28" t="s">
        <v>49</v>
      </c>
      <c r="I383" s="29">
        <v>0.125</v>
      </c>
      <c r="J383" s="28" t="s">
        <v>53</v>
      </c>
      <c r="K383" s="29">
        <v>2.6041999999999998E-4</v>
      </c>
      <c r="L383" s="28"/>
      <c r="M383" s="30">
        <v>30</v>
      </c>
      <c r="N383" s="28"/>
      <c r="O383" s="29">
        <v>2.4414374999999999E-5</v>
      </c>
    </row>
    <row r="384" spans="1:15" x14ac:dyDescent="0.25">
      <c r="A384" s="28">
        <v>3</v>
      </c>
      <c r="B384" s="28" t="s">
        <v>88</v>
      </c>
      <c r="C384" s="28"/>
      <c r="D384" s="28"/>
      <c r="E384" s="29">
        <v>3.3333330000000001E-2</v>
      </c>
      <c r="F384" s="28" t="s">
        <v>49</v>
      </c>
      <c r="G384" s="29">
        <v>6.25E-2</v>
      </c>
      <c r="H384" s="28" t="s">
        <v>49</v>
      </c>
      <c r="I384" s="29">
        <v>0.16666666999999999</v>
      </c>
      <c r="J384" s="28" t="s">
        <v>53</v>
      </c>
      <c r="K384" s="29">
        <v>3.4722000000000003E-4</v>
      </c>
      <c r="L384" s="28"/>
      <c r="M384" s="30">
        <v>40.000000999999997</v>
      </c>
      <c r="N384" s="28"/>
      <c r="O384" s="29">
        <v>3.2551875000000001E-5</v>
      </c>
    </row>
    <row r="385" spans="1:15" x14ac:dyDescent="0.25">
      <c r="A385" s="28">
        <v>3</v>
      </c>
      <c r="B385" s="28" t="s">
        <v>21</v>
      </c>
      <c r="C385" s="28"/>
      <c r="D385" s="28"/>
      <c r="E385" s="29">
        <v>3.3333330000000001E-2</v>
      </c>
      <c r="F385" s="28" t="s">
        <v>49</v>
      </c>
      <c r="G385" s="29">
        <v>6.25E-2</v>
      </c>
      <c r="H385" s="28" t="s">
        <v>49</v>
      </c>
      <c r="I385" s="29">
        <v>6.25E-2</v>
      </c>
      <c r="J385" s="28" t="s">
        <v>53</v>
      </c>
      <c r="K385" s="29">
        <v>1.3020999999999999E-4</v>
      </c>
      <c r="L385" s="28"/>
      <c r="M385" s="30">
        <v>15</v>
      </c>
      <c r="N385" s="28"/>
      <c r="O385" s="29">
        <v>1.22071875E-5</v>
      </c>
    </row>
    <row r="386" spans="1:15" x14ac:dyDescent="0.25">
      <c r="A386" s="28">
        <v>3</v>
      </c>
      <c r="B386" s="28" t="s">
        <v>23</v>
      </c>
      <c r="C386" s="28"/>
      <c r="D386" s="28"/>
      <c r="E386" s="29">
        <v>3.3333330000000001E-2</v>
      </c>
      <c r="F386" s="28" t="s">
        <v>49</v>
      </c>
      <c r="G386" s="29">
        <v>6.25E-2</v>
      </c>
      <c r="H386" s="28" t="s">
        <v>49</v>
      </c>
      <c r="I386" s="29">
        <v>6.25E-2</v>
      </c>
      <c r="J386" s="28" t="s">
        <v>53</v>
      </c>
      <c r="K386" s="29">
        <v>1.3020999999999999E-4</v>
      </c>
      <c r="L386" s="28"/>
      <c r="M386" s="30">
        <v>15</v>
      </c>
      <c r="N386" s="28"/>
      <c r="O386" s="29">
        <v>1.22071875E-5</v>
      </c>
    </row>
    <row r="387" spans="1:15" x14ac:dyDescent="0.25">
      <c r="A387" s="28">
        <v>3</v>
      </c>
      <c r="B387" s="28" t="s">
        <v>207</v>
      </c>
      <c r="C387" s="28" t="s">
        <v>35</v>
      </c>
      <c r="D387" s="28"/>
      <c r="E387" s="29">
        <v>0.05</v>
      </c>
      <c r="F387" s="28" t="s">
        <v>49</v>
      </c>
      <c r="G387" s="29">
        <v>6.25E-2</v>
      </c>
      <c r="H387" s="28" t="s">
        <v>49</v>
      </c>
      <c r="I387" s="29">
        <v>0.125</v>
      </c>
      <c r="J387" s="28" t="s">
        <v>53</v>
      </c>
      <c r="K387" s="29">
        <v>3.9062999999999999E-4</v>
      </c>
      <c r="L387" s="28"/>
      <c r="M387" s="30">
        <v>30</v>
      </c>
      <c r="N387" s="28"/>
      <c r="O387" s="29">
        <v>3.6621562500000003E-5</v>
      </c>
    </row>
    <row r="388" spans="1:15" x14ac:dyDescent="0.25">
      <c r="A388" s="28">
        <v>3</v>
      </c>
      <c r="B388" s="28" t="s">
        <v>174</v>
      </c>
      <c r="C388" s="28" t="s">
        <v>35</v>
      </c>
      <c r="D388" s="28"/>
      <c r="E388" s="29">
        <v>0.05</v>
      </c>
      <c r="F388" s="28" t="s">
        <v>49</v>
      </c>
      <c r="G388" s="29">
        <v>6.25E-2</v>
      </c>
      <c r="H388" s="28" t="s">
        <v>49</v>
      </c>
      <c r="I388" s="29">
        <v>0.125</v>
      </c>
      <c r="J388" s="28" t="s">
        <v>53</v>
      </c>
      <c r="K388" s="29">
        <v>3.9062999999999999E-4</v>
      </c>
      <c r="L388" s="28"/>
      <c r="M388" s="30">
        <v>30</v>
      </c>
      <c r="N388" s="28"/>
      <c r="O388" s="29">
        <v>3.6621562500000003E-5</v>
      </c>
    </row>
    <row r="389" spans="1:15" x14ac:dyDescent="0.25">
      <c r="A389" s="28">
        <v>3</v>
      </c>
      <c r="B389" s="28" t="s">
        <v>25</v>
      </c>
      <c r="C389" s="28"/>
      <c r="D389" s="28"/>
      <c r="E389" s="29">
        <v>3.3333330000000001E-2</v>
      </c>
      <c r="F389" s="28" t="s">
        <v>49</v>
      </c>
      <c r="G389" s="29">
        <v>6.25E-2</v>
      </c>
      <c r="H389" s="28" t="s">
        <v>49</v>
      </c>
      <c r="I389" s="29">
        <v>0.16666666999999999</v>
      </c>
      <c r="J389" s="28" t="s">
        <v>53</v>
      </c>
      <c r="K389" s="29">
        <v>3.4722000000000003E-4</v>
      </c>
      <c r="L389" s="28"/>
      <c r="M389" s="30">
        <v>40.000000999999997</v>
      </c>
      <c r="N389" s="28"/>
      <c r="O389" s="29">
        <v>3.2551875000000001E-5</v>
      </c>
    </row>
    <row r="390" spans="1:15" x14ac:dyDescent="0.25">
      <c r="A390" s="28">
        <v>3</v>
      </c>
      <c r="B390" s="28" t="s">
        <v>87</v>
      </c>
      <c r="C390" s="28"/>
      <c r="D390" s="28"/>
      <c r="E390" s="29">
        <v>3.3333330000000001E-2</v>
      </c>
      <c r="F390" s="28" t="s">
        <v>49</v>
      </c>
      <c r="G390" s="29">
        <v>6.25E-2</v>
      </c>
      <c r="H390" s="28" t="s">
        <v>49</v>
      </c>
      <c r="I390" s="29">
        <v>0.16666666999999999</v>
      </c>
      <c r="J390" s="28" t="s">
        <v>53</v>
      </c>
      <c r="K390" s="29">
        <v>3.4722000000000003E-4</v>
      </c>
      <c r="L390" s="28"/>
      <c r="M390" s="30">
        <v>40.000000999999997</v>
      </c>
      <c r="N390" s="28"/>
      <c r="O390" s="29">
        <v>3.2551875000000001E-5</v>
      </c>
    </row>
    <row r="391" spans="1:15" x14ac:dyDescent="0.25">
      <c r="A391" s="28">
        <v>4</v>
      </c>
      <c r="B391" s="28" t="s">
        <v>199</v>
      </c>
      <c r="C391" s="28"/>
      <c r="D391" s="28"/>
      <c r="E391" s="29">
        <v>3.3333330000000001E-2</v>
      </c>
      <c r="F391" s="28" t="s">
        <v>49</v>
      </c>
      <c r="G391" s="29">
        <v>6.25E-2</v>
      </c>
      <c r="H391" s="28" t="s">
        <v>49</v>
      </c>
      <c r="I391" s="29">
        <v>1</v>
      </c>
      <c r="J391" s="28" t="s">
        <v>53</v>
      </c>
      <c r="K391" s="29">
        <v>2.08333E-3</v>
      </c>
      <c r="L391" s="28"/>
      <c r="M391" s="30">
        <v>80</v>
      </c>
      <c r="N391" s="28"/>
      <c r="O391" s="29">
        <v>6.51040625E-5</v>
      </c>
    </row>
    <row r="392" spans="1:15" x14ac:dyDescent="0.25">
      <c r="A392" s="28">
        <v>14</v>
      </c>
      <c r="B392" s="28" t="s">
        <v>140</v>
      </c>
      <c r="C392" s="28"/>
      <c r="D392" s="28"/>
      <c r="E392" s="29">
        <v>0.05</v>
      </c>
      <c r="F392" s="28" t="s">
        <v>49</v>
      </c>
      <c r="G392" s="29">
        <v>6.25E-2</v>
      </c>
      <c r="H392" s="28" t="s">
        <v>49</v>
      </c>
      <c r="I392" s="29">
        <v>1</v>
      </c>
      <c r="J392" s="28" t="s">
        <v>53</v>
      </c>
      <c r="K392" s="29">
        <v>3.1250000000000002E-3</v>
      </c>
      <c r="L392" s="28"/>
      <c r="M392" s="30">
        <v>240</v>
      </c>
      <c r="N392" s="28"/>
      <c r="O392" s="29">
        <v>2.9296874999999999E-4</v>
      </c>
    </row>
    <row r="393" spans="1:15" x14ac:dyDescent="0.25">
      <c r="A393" s="28">
        <v>15</v>
      </c>
      <c r="B393" s="28" t="s">
        <v>227</v>
      </c>
      <c r="C393" s="28"/>
      <c r="D393" s="28"/>
      <c r="E393" s="29">
        <v>0.05</v>
      </c>
      <c r="F393" s="28" t="s">
        <v>49</v>
      </c>
      <c r="G393" s="29">
        <v>6.25E-2</v>
      </c>
      <c r="H393" s="28" t="s">
        <v>49</v>
      </c>
      <c r="I393" s="29">
        <v>1</v>
      </c>
      <c r="J393" s="28" t="s">
        <v>53</v>
      </c>
      <c r="K393" s="29">
        <v>3.1250000000000002E-3</v>
      </c>
      <c r="L393" s="28"/>
      <c r="M393" s="30">
        <v>40</v>
      </c>
      <c r="N393" s="28"/>
      <c r="O393" s="29">
        <v>4.8828125000000003E-5</v>
      </c>
    </row>
    <row r="394" spans="1:15" x14ac:dyDescent="0.25">
      <c r="A394" s="28">
        <v>16</v>
      </c>
      <c r="B394" s="28" t="s">
        <v>60</v>
      </c>
      <c r="C394" s="28"/>
      <c r="D394" s="28"/>
      <c r="E394" s="29">
        <v>0.02</v>
      </c>
      <c r="F394" s="28" t="s">
        <v>49</v>
      </c>
      <c r="G394" s="29">
        <v>6.25E-2</v>
      </c>
      <c r="H394" s="28" t="s">
        <v>49</v>
      </c>
      <c r="I394" s="29">
        <v>8.3333329999999997E-2</v>
      </c>
      <c r="J394" s="28" t="s">
        <v>53</v>
      </c>
      <c r="K394" s="29">
        <v>1.0417E-4</v>
      </c>
      <c r="L394" s="28"/>
      <c r="M394" s="30">
        <v>10</v>
      </c>
      <c r="N394" s="28"/>
      <c r="O394" s="29">
        <v>4.88296875E-6</v>
      </c>
    </row>
    <row r="395" spans="1:15" x14ac:dyDescent="0.25">
      <c r="A395" s="28">
        <v>16</v>
      </c>
      <c r="B395" s="28" t="s">
        <v>228</v>
      </c>
      <c r="C395" s="28"/>
      <c r="D395" s="28"/>
      <c r="E395" s="29">
        <v>0.05</v>
      </c>
      <c r="F395" s="28" t="s">
        <v>49</v>
      </c>
      <c r="G395" s="29">
        <v>6.25E-2</v>
      </c>
      <c r="H395" s="28" t="s">
        <v>49</v>
      </c>
      <c r="I395" s="29">
        <v>0.33333332999999998</v>
      </c>
      <c r="J395" s="28" t="s">
        <v>53</v>
      </c>
      <c r="K395" s="29">
        <v>1.04167E-3</v>
      </c>
      <c r="L395" s="28"/>
      <c r="M395" s="30">
        <v>40</v>
      </c>
      <c r="N395" s="28"/>
      <c r="O395" s="29">
        <v>4.8828281250000002E-5</v>
      </c>
    </row>
    <row r="396" spans="1:15" x14ac:dyDescent="0.25">
      <c r="A396" s="28">
        <v>17</v>
      </c>
      <c r="B396" s="28" t="s">
        <v>9</v>
      </c>
      <c r="C396" s="28"/>
      <c r="D396" s="28"/>
      <c r="E396" s="29">
        <v>0.05</v>
      </c>
      <c r="F396" s="28" t="s">
        <v>49</v>
      </c>
      <c r="G396" s="29">
        <v>6.25E-2</v>
      </c>
      <c r="H396" s="28" t="s">
        <v>49</v>
      </c>
      <c r="I396" s="29">
        <v>1</v>
      </c>
      <c r="J396" s="28" t="s">
        <v>53</v>
      </c>
      <c r="K396" s="29">
        <v>3.1250000000000002E-3</v>
      </c>
      <c r="L396" s="28"/>
      <c r="M396" s="30">
        <v>240</v>
      </c>
      <c r="N396" s="28"/>
      <c r="O396" s="29">
        <v>2.9296874999999999E-4</v>
      </c>
    </row>
    <row r="397" spans="1:15" x14ac:dyDescent="0.25">
      <c r="A397" s="28">
        <v>18</v>
      </c>
      <c r="B397" s="28" t="s">
        <v>229</v>
      </c>
      <c r="C397" s="28"/>
      <c r="D397" s="28"/>
      <c r="E397" s="29">
        <v>0.05</v>
      </c>
      <c r="F397" s="28" t="s">
        <v>49</v>
      </c>
      <c r="G397" s="29">
        <v>6.25E-2</v>
      </c>
      <c r="H397" s="28" t="s">
        <v>49</v>
      </c>
      <c r="I397" s="29">
        <v>1</v>
      </c>
      <c r="J397" s="28" t="s">
        <v>53</v>
      </c>
      <c r="K397" s="29">
        <v>3.1250000000000002E-3</v>
      </c>
      <c r="L397" s="28"/>
      <c r="M397" s="30">
        <v>320</v>
      </c>
      <c r="N397" s="28"/>
      <c r="O397" s="29">
        <v>3.9062500000000002E-4</v>
      </c>
    </row>
    <row r="398" spans="1:15" x14ac:dyDescent="0.25">
      <c r="A398" s="28">
        <v>19</v>
      </c>
      <c r="B398" s="28" t="s">
        <v>216</v>
      </c>
      <c r="C398" s="28"/>
      <c r="D398" s="28"/>
      <c r="E398" s="29">
        <v>3.3333330000000001E-2</v>
      </c>
      <c r="F398" s="28" t="s">
        <v>49</v>
      </c>
      <c r="G398" s="29">
        <v>6.25E-2</v>
      </c>
      <c r="H398" s="28" t="s">
        <v>49</v>
      </c>
      <c r="I398" s="29">
        <v>1</v>
      </c>
      <c r="J398" s="28" t="s">
        <v>53</v>
      </c>
      <c r="K398" s="29">
        <v>2.08333E-3</v>
      </c>
      <c r="L398" s="28"/>
      <c r="M398" s="30">
        <v>160</v>
      </c>
      <c r="N398" s="28"/>
      <c r="O398" s="29">
        <v>1.30208125E-4</v>
      </c>
    </row>
    <row r="399" spans="1:15" x14ac:dyDescent="0.25">
      <c r="A399" s="28">
        <v>20</v>
      </c>
      <c r="B399" s="28" t="s">
        <v>230</v>
      </c>
      <c r="C399" s="28"/>
      <c r="D399" s="28"/>
      <c r="E399" s="29">
        <v>0.05</v>
      </c>
      <c r="F399" s="28" t="s">
        <v>49</v>
      </c>
      <c r="G399" s="29">
        <v>6.25E-2</v>
      </c>
      <c r="H399" s="28" t="s">
        <v>49</v>
      </c>
      <c r="I399" s="29">
        <v>1</v>
      </c>
      <c r="J399" s="28" t="s">
        <v>53</v>
      </c>
      <c r="K399" s="29">
        <v>3.1250000000000002E-3</v>
      </c>
      <c r="L399" s="28"/>
      <c r="M399" s="30">
        <v>160</v>
      </c>
      <c r="N399" s="28"/>
      <c r="O399" s="29">
        <v>1.9531250000000001E-4</v>
      </c>
    </row>
    <row r="400" spans="1:15" x14ac:dyDescent="0.25">
      <c r="A400" s="18">
        <v>28</v>
      </c>
      <c r="B400" s="18" t="s">
        <v>117</v>
      </c>
      <c r="C400" s="18"/>
      <c r="D400" s="18"/>
      <c r="E400" s="19">
        <v>3.3333330000000001E-2</v>
      </c>
      <c r="F400" s="18" t="s">
        <v>49</v>
      </c>
      <c r="G400" s="19">
        <v>6.25E-2</v>
      </c>
      <c r="H400" s="18" t="s">
        <v>49</v>
      </c>
      <c r="I400" s="19">
        <v>1</v>
      </c>
      <c r="J400" s="18" t="s">
        <v>53</v>
      </c>
      <c r="K400" s="19">
        <v>2.08333E-3</v>
      </c>
      <c r="L400" s="18"/>
      <c r="M400" s="20">
        <v>480</v>
      </c>
      <c r="N400" s="18"/>
      <c r="O400" s="19">
        <v>3.9062437500000003E-4</v>
      </c>
    </row>
    <row r="401" spans="1:15" x14ac:dyDescent="0.25">
      <c r="A401" s="21" t="s">
        <v>61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3">
        <v>2.2562167414062499E-3</v>
      </c>
    </row>
    <row r="403" spans="1:15" x14ac:dyDescent="0.25">
      <c r="A403" s="26" t="s">
        <v>57</v>
      </c>
      <c r="B403" s="44" t="s">
        <v>292</v>
      </c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6"/>
    </row>
    <row r="404" spans="1:15" x14ac:dyDescent="0.25">
      <c r="A404" s="27" t="s">
        <v>214</v>
      </c>
      <c r="B404" s="41" t="s">
        <v>293</v>
      </c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3"/>
    </row>
    <row r="406" spans="1:15" x14ac:dyDescent="0.25">
      <c r="A406" s="28">
        <v>14</v>
      </c>
      <c r="B406" s="28" t="s">
        <v>140</v>
      </c>
      <c r="C406" s="28"/>
      <c r="D406" s="28"/>
      <c r="E406" s="29">
        <v>0.05</v>
      </c>
      <c r="F406" s="28" t="s">
        <v>49</v>
      </c>
      <c r="G406" s="29">
        <v>0.125</v>
      </c>
      <c r="H406" s="28" t="s">
        <v>49</v>
      </c>
      <c r="I406" s="29">
        <v>1</v>
      </c>
      <c r="J406" s="28" t="s">
        <v>53</v>
      </c>
      <c r="K406" s="29">
        <v>6.2500000000000003E-3</v>
      </c>
      <c r="L406" s="28"/>
      <c r="M406" s="30">
        <v>240</v>
      </c>
      <c r="N406" s="28"/>
      <c r="O406" s="29">
        <v>5.8593750000000009E-4</v>
      </c>
    </row>
    <row r="407" spans="1:15" x14ac:dyDescent="0.25">
      <c r="A407" s="28">
        <v>15</v>
      </c>
      <c r="B407" s="28" t="s">
        <v>227</v>
      </c>
      <c r="C407" s="28"/>
      <c r="D407" s="28"/>
      <c r="E407" s="29">
        <v>0.05</v>
      </c>
      <c r="F407" s="28" t="s">
        <v>49</v>
      </c>
      <c r="G407" s="29">
        <v>0.125</v>
      </c>
      <c r="H407" s="28" t="s">
        <v>49</v>
      </c>
      <c r="I407" s="29">
        <v>1</v>
      </c>
      <c r="J407" s="28" t="s">
        <v>53</v>
      </c>
      <c r="K407" s="29">
        <v>6.2500000000000003E-3</v>
      </c>
      <c r="L407" s="28"/>
      <c r="M407" s="30">
        <v>40</v>
      </c>
      <c r="N407" s="28"/>
      <c r="O407" s="29">
        <v>9.7656250000000005E-5</v>
      </c>
    </row>
    <row r="408" spans="1:15" x14ac:dyDescent="0.25">
      <c r="A408" s="28">
        <v>16</v>
      </c>
      <c r="B408" s="28" t="s">
        <v>228</v>
      </c>
      <c r="C408" s="28"/>
      <c r="D408" s="28"/>
      <c r="E408" s="29">
        <v>0.05</v>
      </c>
      <c r="F408" s="28" t="s">
        <v>49</v>
      </c>
      <c r="G408" s="29">
        <v>0.125</v>
      </c>
      <c r="H408" s="28" t="s">
        <v>49</v>
      </c>
      <c r="I408" s="29">
        <v>0.33333332999999998</v>
      </c>
      <c r="J408" s="28" t="s">
        <v>53</v>
      </c>
      <c r="K408" s="29">
        <v>2.08333E-3</v>
      </c>
      <c r="L408" s="28"/>
      <c r="M408" s="30">
        <v>40</v>
      </c>
      <c r="N408" s="28"/>
      <c r="O408" s="29">
        <v>9.7656093750000006E-5</v>
      </c>
    </row>
    <row r="409" spans="1:15" x14ac:dyDescent="0.25">
      <c r="A409" s="28">
        <v>16</v>
      </c>
      <c r="B409" s="28" t="s">
        <v>60</v>
      </c>
      <c r="C409" s="28"/>
      <c r="D409" s="28"/>
      <c r="E409" s="29">
        <v>0.02</v>
      </c>
      <c r="F409" s="28" t="s">
        <v>49</v>
      </c>
      <c r="G409" s="29">
        <v>0.125</v>
      </c>
      <c r="H409" s="28" t="s">
        <v>49</v>
      </c>
      <c r="I409" s="29">
        <v>8.3333329999999997E-2</v>
      </c>
      <c r="J409" s="28" t="s">
        <v>53</v>
      </c>
      <c r="K409" s="29">
        <v>2.0833000000000001E-4</v>
      </c>
      <c r="L409" s="28"/>
      <c r="M409" s="30">
        <v>10</v>
      </c>
      <c r="N409" s="28"/>
      <c r="O409" s="29">
        <v>9.7654687499999994E-6</v>
      </c>
    </row>
    <row r="410" spans="1:15" x14ac:dyDescent="0.25">
      <c r="A410" s="28">
        <v>17</v>
      </c>
      <c r="B410" s="28" t="s">
        <v>9</v>
      </c>
      <c r="C410" s="28"/>
      <c r="D410" s="28"/>
      <c r="E410" s="29">
        <v>0.05</v>
      </c>
      <c r="F410" s="28" t="s">
        <v>49</v>
      </c>
      <c r="G410" s="29">
        <v>0.125</v>
      </c>
      <c r="H410" s="28" t="s">
        <v>49</v>
      </c>
      <c r="I410" s="29">
        <v>1</v>
      </c>
      <c r="J410" s="28" t="s">
        <v>53</v>
      </c>
      <c r="K410" s="29">
        <v>6.2500000000000003E-3</v>
      </c>
      <c r="L410" s="28"/>
      <c r="M410" s="30">
        <v>240</v>
      </c>
      <c r="N410" s="28"/>
      <c r="O410" s="29">
        <v>5.8593750000000009E-4</v>
      </c>
    </row>
    <row r="411" spans="1:15" x14ac:dyDescent="0.25">
      <c r="A411" s="28">
        <v>18</v>
      </c>
      <c r="B411" s="28" t="s">
        <v>229</v>
      </c>
      <c r="C411" s="28"/>
      <c r="D411" s="28"/>
      <c r="E411" s="29">
        <v>0.05</v>
      </c>
      <c r="F411" s="28" t="s">
        <v>49</v>
      </c>
      <c r="G411" s="29">
        <v>0.125</v>
      </c>
      <c r="H411" s="28" t="s">
        <v>49</v>
      </c>
      <c r="I411" s="29">
        <v>1</v>
      </c>
      <c r="J411" s="28" t="s">
        <v>53</v>
      </c>
      <c r="K411" s="29">
        <v>6.2500000000000003E-3</v>
      </c>
      <c r="L411" s="28"/>
      <c r="M411" s="30">
        <v>320</v>
      </c>
      <c r="N411" s="28"/>
      <c r="O411" s="29">
        <v>7.8125000000000004E-4</v>
      </c>
    </row>
    <row r="412" spans="1:15" x14ac:dyDescent="0.25">
      <c r="A412" s="28">
        <v>19</v>
      </c>
      <c r="B412" s="28" t="s">
        <v>216</v>
      </c>
      <c r="C412" s="28"/>
      <c r="D412" s="28"/>
      <c r="E412" s="29">
        <v>3.3333330000000001E-2</v>
      </c>
      <c r="F412" s="28" t="s">
        <v>49</v>
      </c>
      <c r="G412" s="29">
        <v>0.125</v>
      </c>
      <c r="H412" s="28" t="s">
        <v>49</v>
      </c>
      <c r="I412" s="29">
        <v>1</v>
      </c>
      <c r="J412" s="28" t="s">
        <v>53</v>
      </c>
      <c r="K412" s="29">
        <v>4.1666699999999999E-3</v>
      </c>
      <c r="L412" s="28"/>
      <c r="M412" s="30">
        <v>160</v>
      </c>
      <c r="N412" s="28"/>
      <c r="O412" s="29">
        <v>2.60416875E-4</v>
      </c>
    </row>
    <row r="413" spans="1:15" x14ac:dyDescent="0.25">
      <c r="A413" s="28">
        <v>20</v>
      </c>
      <c r="B413" s="28" t="s">
        <v>230</v>
      </c>
      <c r="C413" s="28"/>
      <c r="D413" s="28"/>
      <c r="E413" s="29">
        <v>0.05</v>
      </c>
      <c r="F413" s="28" t="s">
        <v>49</v>
      </c>
      <c r="G413" s="29">
        <v>0.125</v>
      </c>
      <c r="H413" s="28" t="s">
        <v>49</v>
      </c>
      <c r="I413" s="29">
        <v>1</v>
      </c>
      <c r="J413" s="28" t="s">
        <v>53</v>
      </c>
      <c r="K413" s="29">
        <v>6.2500000000000003E-3</v>
      </c>
      <c r="L413" s="28"/>
      <c r="M413" s="30">
        <v>160</v>
      </c>
      <c r="N413" s="28"/>
      <c r="O413" s="29">
        <v>3.9062500000000002E-4</v>
      </c>
    </row>
    <row r="414" spans="1:15" x14ac:dyDescent="0.25">
      <c r="A414" s="18">
        <v>28</v>
      </c>
      <c r="B414" s="18" t="s">
        <v>117</v>
      </c>
      <c r="C414" s="18"/>
      <c r="D414" s="18"/>
      <c r="E414" s="19">
        <v>3.3333330000000001E-2</v>
      </c>
      <c r="F414" s="18" t="s">
        <v>49</v>
      </c>
      <c r="G414" s="19">
        <v>0.125</v>
      </c>
      <c r="H414" s="18" t="s">
        <v>49</v>
      </c>
      <c r="I414" s="19">
        <v>1</v>
      </c>
      <c r="J414" s="18" t="s">
        <v>53</v>
      </c>
      <c r="K414" s="19">
        <v>4.1666699999999999E-3</v>
      </c>
      <c r="L414" s="18"/>
      <c r="M414" s="20">
        <v>480</v>
      </c>
      <c r="N414" s="18"/>
      <c r="O414" s="19">
        <v>7.8125062499999993E-4</v>
      </c>
    </row>
    <row r="415" spans="1:15" x14ac:dyDescent="0.25">
      <c r="A415" s="21" t="s">
        <v>61</v>
      </c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3">
        <v>3.5904953124999998E-3</v>
      </c>
    </row>
    <row r="417" spans="1:15" x14ac:dyDescent="0.25">
      <c r="A417" s="26" t="s">
        <v>57</v>
      </c>
      <c r="B417" s="44" t="s">
        <v>294</v>
      </c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6"/>
    </row>
    <row r="418" spans="1:15" x14ac:dyDescent="0.25">
      <c r="A418" s="27" t="s">
        <v>214</v>
      </c>
      <c r="B418" s="41" t="s">
        <v>68</v>
      </c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3"/>
    </row>
    <row r="420" spans="1:15" x14ac:dyDescent="0.25">
      <c r="A420" s="28">
        <v>1</v>
      </c>
      <c r="B420" s="28" t="s">
        <v>126</v>
      </c>
      <c r="C420" s="28"/>
      <c r="D420" s="28"/>
      <c r="E420" s="29">
        <v>3.3333330000000001E-2</v>
      </c>
      <c r="F420" s="28" t="s">
        <v>49</v>
      </c>
      <c r="G420" s="29">
        <v>0.125</v>
      </c>
      <c r="H420" s="28" t="s">
        <v>49</v>
      </c>
      <c r="I420" s="29">
        <v>1</v>
      </c>
      <c r="J420" s="28" t="s">
        <v>53</v>
      </c>
      <c r="K420" s="29">
        <v>4.1666699999999999E-3</v>
      </c>
      <c r="L420" s="28"/>
      <c r="M420" s="30">
        <v>1.35</v>
      </c>
      <c r="N420" s="28"/>
      <c r="O420" s="29">
        <v>2.1972673828125E-6</v>
      </c>
    </row>
    <row r="421" spans="1:15" x14ac:dyDescent="0.25">
      <c r="A421" s="28">
        <v>2</v>
      </c>
      <c r="B421" s="28" t="s">
        <v>226</v>
      </c>
      <c r="C421" s="28"/>
      <c r="D421" s="28"/>
      <c r="E421" s="29">
        <v>3.3333330000000001E-2</v>
      </c>
      <c r="F421" s="28" t="s">
        <v>49</v>
      </c>
      <c r="G421" s="29">
        <v>0.125</v>
      </c>
      <c r="H421" s="28" t="s">
        <v>49</v>
      </c>
      <c r="I421" s="29">
        <v>0.52500000000000002</v>
      </c>
      <c r="J421" s="28" t="s">
        <v>53</v>
      </c>
      <c r="K421" s="29">
        <v>2.1875000000000002E-3</v>
      </c>
      <c r="L421" s="28"/>
      <c r="M421" s="30">
        <v>167.29124999999999</v>
      </c>
      <c r="N421" s="28"/>
      <c r="O421" s="29">
        <v>2.72283935546875E-4</v>
      </c>
    </row>
    <row r="422" spans="1:15" x14ac:dyDescent="0.25">
      <c r="A422" s="28">
        <v>2</v>
      </c>
      <c r="B422" s="28" t="s">
        <v>29</v>
      </c>
      <c r="C422" s="28"/>
      <c r="D422" s="28"/>
      <c r="E422" s="29">
        <v>0.05</v>
      </c>
      <c r="F422" s="28" t="s">
        <v>49</v>
      </c>
      <c r="G422" s="29">
        <v>0.125</v>
      </c>
      <c r="H422" s="28" t="s">
        <v>49</v>
      </c>
      <c r="I422" s="29">
        <v>0.1</v>
      </c>
      <c r="J422" s="28" t="s">
        <v>53</v>
      </c>
      <c r="K422" s="29">
        <v>6.2500000000000001E-4</v>
      </c>
      <c r="L422" s="28"/>
      <c r="M422" s="30">
        <v>31.864999999999998</v>
      </c>
      <c r="N422" s="28"/>
      <c r="O422" s="29">
        <v>7.7795410156249997E-5</v>
      </c>
    </row>
    <row r="423" spans="1:15" x14ac:dyDescent="0.25">
      <c r="A423" s="28">
        <v>3</v>
      </c>
      <c r="B423" s="28" t="s">
        <v>19</v>
      </c>
      <c r="C423" s="28"/>
      <c r="D423" s="28"/>
      <c r="E423" s="29">
        <v>3.3333330000000001E-2</v>
      </c>
      <c r="F423" s="28" t="s">
        <v>49</v>
      </c>
      <c r="G423" s="29">
        <v>0.125</v>
      </c>
      <c r="H423" s="28" t="s">
        <v>49</v>
      </c>
      <c r="I423" s="29">
        <v>0.125</v>
      </c>
      <c r="J423" s="28" t="s">
        <v>53</v>
      </c>
      <c r="K423" s="29">
        <v>5.2083000000000001E-4</v>
      </c>
      <c r="L423" s="28"/>
      <c r="M423" s="30">
        <v>30</v>
      </c>
      <c r="N423" s="28"/>
      <c r="O423" s="29">
        <v>4.8827812499999998E-5</v>
      </c>
    </row>
    <row r="424" spans="1:15" x14ac:dyDescent="0.25">
      <c r="A424" s="28">
        <v>3</v>
      </c>
      <c r="B424" s="28" t="s">
        <v>207</v>
      </c>
      <c r="C424" s="28" t="s">
        <v>35</v>
      </c>
      <c r="D424" s="28"/>
      <c r="E424" s="29">
        <v>0.05</v>
      </c>
      <c r="F424" s="28" t="s">
        <v>49</v>
      </c>
      <c r="G424" s="29">
        <v>0.125</v>
      </c>
      <c r="H424" s="28" t="s">
        <v>49</v>
      </c>
      <c r="I424" s="29">
        <v>0.125</v>
      </c>
      <c r="J424" s="28" t="s">
        <v>53</v>
      </c>
      <c r="K424" s="29">
        <v>7.8125000000000004E-4</v>
      </c>
      <c r="L424" s="28"/>
      <c r="M424" s="30">
        <v>30</v>
      </c>
      <c r="N424" s="28"/>
      <c r="O424" s="29">
        <v>7.3242187500000011E-5</v>
      </c>
    </row>
    <row r="425" spans="1:15" x14ac:dyDescent="0.25">
      <c r="A425" s="28">
        <v>3</v>
      </c>
      <c r="B425" s="28" t="s">
        <v>25</v>
      </c>
      <c r="C425" s="28"/>
      <c r="D425" s="28"/>
      <c r="E425" s="29">
        <v>3.3333330000000001E-2</v>
      </c>
      <c r="F425" s="28" t="s">
        <v>49</v>
      </c>
      <c r="G425" s="29">
        <v>0.125</v>
      </c>
      <c r="H425" s="28" t="s">
        <v>49</v>
      </c>
      <c r="I425" s="29">
        <v>0.16666666999999999</v>
      </c>
      <c r="J425" s="28" t="s">
        <v>53</v>
      </c>
      <c r="K425" s="29">
        <v>6.9443E-4</v>
      </c>
      <c r="L425" s="28"/>
      <c r="M425" s="30">
        <v>40.000000999999997</v>
      </c>
      <c r="N425" s="28"/>
      <c r="O425" s="29">
        <v>6.5102812499999994E-5</v>
      </c>
    </row>
    <row r="426" spans="1:15" x14ac:dyDescent="0.25">
      <c r="A426" s="28">
        <v>3</v>
      </c>
      <c r="B426" s="28" t="s">
        <v>87</v>
      </c>
      <c r="C426" s="28"/>
      <c r="D426" s="28"/>
      <c r="E426" s="29">
        <v>3.3333330000000001E-2</v>
      </c>
      <c r="F426" s="28" t="s">
        <v>49</v>
      </c>
      <c r="G426" s="29">
        <v>0.125</v>
      </c>
      <c r="H426" s="28" t="s">
        <v>49</v>
      </c>
      <c r="I426" s="29">
        <v>0.16666666999999999</v>
      </c>
      <c r="J426" s="28" t="s">
        <v>53</v>
      </c>
      <c r="K426" s="29">
        <v>6.9443E-4</v>
      </c>
      <c r="L426" s="28"/>
      <c r="M426" s="30">
        <v>40.000000999999997</v>
      </c>
      <c r="N426" s="28"/>
      <c r="O426" s="29">
        <v>6.5102812499999994E-5</v>
      </c>
    </row>
    <row r="427" spans="1:15" x14ac:dyDescent="0.25">
      <c r="A427" s="28">
        <v>3</v>
      </c>
      <c r="B427" s="28" t="s">
        <v>88</v>
      </c>
      <c r="C427" s="28"/>
      <c r="D427" s="28"/>
      <c r="E427" s="29">
        <v>3.3333330000000001E-2</v>
      </c>
      <c r="F427" s="28" t="s">
        <v>49</v>
      </c>
      <c r="G427" s="29">
        <v>0.125</v>
      </c>
      <c r="H427" s="28" t="s">
        <v>49</v>
      </c>
      <c r="I427" s="29">
        <v>0.16666666999999999</v>
      </c>
      <c r="J427" s="28" t="s">
        <v>53</v>
      </c>
      <c r="K427" s="29">
        <v>6.9443E-4</v>
      </c>
      <c r="L427" s="28"/>
      <c r="M427" s="30">
        <v>40.000000999999997</v>
      </c>
      <c r="N427" s="28"/>
      <c r="O427" s="29">
        <v>6.5102812499999994E-5</v>
      </c>
    </row>
    <row r="428" spans="1:15" x14ac:dyDescent="0.25">
      <c r="A428" s="28">
        <v>3</v>
      </c>
      <c r="B428" s="28" t="s">
        <v>174</v>
      </c>
      <c r="C428" s="28" t="s">
        <v>35</v>
      </c>
      <c r="D428" s="28"/>
      <c r="E428" s="29">
        <v>0.05</v>
      </c>
      <c r="F428" s="28" t="s">
        <v>49</v>
      </c>
      <c r="G428" s="29">
        <v>0.125</v>
      </c>
      <c r="H428" s="28" t="s">
        <v>49</v>
      </c>
      <c r="I428" s="29">
        <v>0.125</v>
      </c>
      <c r="J428" s="28" t="s">
        <v>53</v>
      </c>
      <c r="K428" s="29">
        <v>7.8125000000000004E-4</v>
      </c>
      <c r="L428" s="28"/>
      <c r="M428" s="30">
        <v>30</v>
      </c>
      <c r="N428" s="28"/>
      <c r="O428" s="29">
        <v>7.3242187500000011E-5</v>
      </c>
    </row>
    <row r="429" spans="1:15" x14ac:dyDescent="0.25">
      <c r="A429" s="28">
        <v>3</v>
      </c>
      <c r="B429" s="28" t="s">
        <v>21</v>
      </c>
      <c r="C429" s="28"/>
      <c r="D429" s="28"/>
      <c r="E429" s="29">
        <v>3.3333330000000001E-2</v>
      </c>
      <c r="F429" s="28" t="s">
        <v>49</v>
      </c>
      <c r="G429" s="29">
        <v>0.125</v>
      </c>
      <c r="H429" s="28" t="s">
        <v>49</v>
      </c>
      <c r="I429" s="29">
        <v>6.25E-2</v>
      </c>
      <c r="J429" s="28" t="s">
        <v>53</v>
      </c>
      <c r="K429" s="29">
        <v>2.6041999999999998E-4</v>
      </c>
      <c r="L429" s="28"/>
      <c r="M429" s="30">
        <v>15</v>
      </c>
      <c r="N429" s="28"/>
      <c r="O429" s="29">
        <v>2.4414374999999999E-5</v>
      </c>
    </row>
    <row r="430" spans="1:15" x14ac:dyDescent="0.25">
      <c r="A430" s="28">
        <v>3</v>
      </c>
      <c r="B430" s="28" t="s">
        <v>23</v>
      </c>
      <c r="C430" s="28"/>
      <c r="D430" s="28"/>
      <c r="E430" s="29">
        <v>3.3333330000000001E-2</v>
      </c>
      <c r="F430" s="28" t="s">
        <v>49</v>
      </c>
      <c r="G430" s="29">
        <v>0.125</v>
      </c>
      <c r="H430" s="28" t="s">
        <v>49</v>
      </c>
      <c r="I430" s="29">
        <v>6.25E-2</v>
      </c>
      <c r="J430" s="28" t="s">
        <v>53</v>
      </c>
      <c r="K430" s="29">
        <v>2.6041999999999998E-4</v>
      </c>
      <c r="L430" s="28"/>
      <c r="M430" s="30">
        <v>15</v>
      </c>
      <c r="N430" s="28"/>
      <c r="O430" s="29">
        <v>2.4414374999999999E-5</v>
      </c>
    </row>
    <row r="431" spans="1:15" x14ac:dyDescent="0.25">
      <c r="A431" s="18">
        <v>4</v>
      </c>
      <c r="B431" s="18" t="s">
        <v>199</v>
      </c>
      <c r="C431" s="18"/>
      <c r="D431" s="18"/>
      <c r="E431" s="19">
        <v>3.3333330000000001E-2</v>
      </c>
      <c r="F431" s="18" t="s">
        <v>49</v>
      </c>
      <c r="G431" s="19">
        <v>0.125</v>
      </c>
      <c r="H431" s="18" t="s">
        <v>49</v>
      </c>
      <c r="I431" s="19">
        <v>1</v>
      </c>
      <c r="J431" s="18" t="s">
        <v>53</v>
      </c>
      <c r="K431" s="19">
        <v>4.1666699999999999E-3</v>
      </c>
      <c r="L431" s="18"/>
      <c r="M431" s="20">
        <v>80</v>
      </c>
      <c r="N431" s="18"/>
      <c r="O431" s="19">
        <v>1.302084375E-4</v>
      </c>
    </row>
    <row r="432" spans="1:15" x14ac:dyDescent="0.25">
      <c r="A432" s="21" t="s">
        <v>61</v>
      </c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3">
        <v>9.2193442558593749E-4</v>
      </c>
    </row>
    <row r="434" spans="1:15" x14ac:dyDescent="0.25">
      <c r="A434" s="26" t="s">
        <v>57</v>
      </c>
      <c r="B434" s="44" t="s">
        <v>295</v>
      </c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6"/>
    </row>
    <row r="435" spans="1:15" x14ac:dyDescent="0.25">
      <c r="A435" s="27" t="s">
        <v>214</v>
      </c>
      <c r="B435" s="41" t="s">
        <v>68</v>
      </c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3"/>
    </row>
    <row r="437" spans="1:15" x14ac:dyDescent="0.25">
      <c r="A437" s="28">
        <v>2</v>
      </c>
      <c r="B437" s="28" t="s">
        <v>125</v>
      </c>
      <c r="C437" s="28" t="s">
        <v>242</v>
      </c>
      <c r="D437" s="28"/>
      <c r="E437" s="29">
        <v>1.5E-3</v>
      </c>
      <c r="F437" s="28" t="s">
        <v>49</v>
      </c>
      <c r="G437" s="29">
        <v>1</v>
      </c>
      <c r="H437" s="28" t="s">
        <v>49</v>
      </c>
      <c r="I437" s="29">
        <v>0.1</v>
      </c>
      <c r="J437" s="28" t="s">
        <v>53</v>
      </c>
      <c r="K437" s="29">
        <v>1.4999999999999999E-4</v>
      </c>
      <c r="L437" s="28"/>
      <c r="M437" s="30">
        <v>31.864999999999998</v>
      </c>
      <c r="N437" s="28"/>
      <c r="O437" s="29">
        <v>1.8670898437500001E-5</v>
      </c>
    </row>
    <row r="438" spans="1:15" x14ac:dyDescent="0.25">
      <c r="A438" s="18">
        <v>16</v>
      </c>
      <c r="B438" s="18" t="s">
        <v>60</v>
      </c>
      <c r="C438" s="18"/>
      <c r="D438" s="18"/>
      <c r="E438" s="19">
        <v>0.03</v>
      </c>
      <c r="F438" s="18" t="s">
        <v>49</v>
      </c>
      <c r="G438" s="19">
        <v>0.05</v>
      </c>
      <c r="H438" s="18" t="s">
        <v>49</v>
      </c>
      <c r="I438" s="19">
        <v>8.3333329999999997E-2</v>
      </c>
      <c r="J438" s="18" t="s">
        <v>53</v>
      </c>
      <c r="K438" s="19">
        <v>1.25E-4</v>
      </c>
      <c r="L438" s="18"/>
      <c r="M438" s="20">
        <v>10</v>
      </c>
      <c r="N438" s="18"/>
      <c r="O438" s="19">
        <v>5.8593750000000001E-6</v>
      </c>
    </row>
    <row r="439" spans="1:15" x14ac:dyDescent="0.25">
      <c r="A439" s="21" t="s">
        <v>61</v>
      </c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3">
        <v>2.4530273437499999E-5</v>
      </c>
    </row>
    <row r="441" spans="1:15" x14ac:dyDescent="0.25">
      <c r="A441" s="26" t="s">
        <v>57</v>
      </c>
      <c r="B441" s="44" t="s">
        <v>296</v>
      </c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6"/>
    </row>
    <row r="442" spans="1:15" x14ac:dyDescent="0.25">
      <c r="A442" s="27" t="s">
        <v>214</v>
      </c>
      <c r="B442" s="41" t="s">
        <v>297</v>
      </c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3"/>
    </row>
    <row r="444" spans="1:15" x14ac:dyDescent="0.25">
      <c r="A444" s="28">
        <v>14</v>
      </c>
      <c r="B444" s="28" t="s">
        <v>140</v>
      </c>
      <c r="C444" s="28"/>
      <c r="D444" s="28"/>
      <c r="E444" s="29">
        <v>0.05</v>
      </c>
      <c r="F444" s="28" t="s">
        <v>49</v>
      </c>
      <c r="G444" s="29">
        <v>3.41895E-3</v>
      </c>
      <c r="H444" s="28" t="s">
        <v>49</v>
      </c>
      <c r="I444" s="29">
        <v>1</v>
      </c>
      <c r="J444" s="28" t="s">
        <v>53</v>
      </c>
      <c r="K444" s="29">
        <v>1.7095000000000001E-4</v>
      </c>
      <c r="L444" s="28"/>
      <c r="M444" s="30">
        <v>240</v>
      </c>
      <c r="N444" s="28"/>
      <c r="O444" s="29">
        <v>1.6026562500000001E-5</v>
      </c>
    </row>
    <row r="445" spans="1:15" x14ac:dyDescent="0.25">
      <c r="A445" s="28">
        <v>15</v>
      </c>
      <c r="B445" s="28" t="s">
        <v>227</v>
      </c>
      <c r="C445" s="28"/>
      <c r="D445" s="28"/>
      <c r="E445" s="29">
        <v>0.05</v>
      </c>
      <c r="F445" s="28" t="s">
        <v>49</v>
      </c>
      <c r="G445" s="29">
        <v>3.41895E-3</v>
      </c>
      <c r="H445" s="28" t="s">
        <v>49</v>
      </c>
      <c r="I445" s="29">
        <v>1</v>
      </c>
      <c r="J445" s="28" t="s">
        <v>53</v>
      </c>
      <c r="K445" s="29">
        <v>1.7095000000000001E-4</v>
      </c>
      <c r="L445" s="28"/>
      <c r="M445" s="30">
        <v>40</v>
      </c>
      <c r="N445" s="28"/>
      <c r="O445" s="29">
        <v>2.6710937500000001E-6</v>
      </c>
    </row>
    <row r="446" spans="1:15" x14ac:dyDescent="0.25">
      <c r="A446" s="28">
        <v>16</v>
      </c>
      <c r="B446" s="28" t="s">
        <v>228</v>
      </c>
      <c r="C446" s="28"/>
      <c r="D446" s="28"/>
      <c r="E446" s="29">
        <v>0.05</v>
      </c>
      <c r="F446" s="28" t="s">
        <v>49</v>
      </c>
      <c r="G446" s="29">
        <v>3.41895E-3</v>
      </c>
      <c r="H446" s="28" t="s">
        <v>49</v>
      </c>
      <c r="I446" s="29">
        <v>0.33333332999999998</v>
      </c>
      <c r="J446" s="28" t="s">
        <v>53</v>
      </c>
      <c r="K446" s="29">
        <v>5.698E-5</v>
      </c>
      <c r="L446" s="28"/>
      <c r="M446" s="30">
        <v>40</v>
      </c>
      <c r="N446" s="28"/>
      <c r="O446" s="29">
        <v>2.6709375000000002E-6</v>
      </c>
    </row>
    <row r="447" spans="1:15" x14ac:dyDescent="0.25">
      <c r="A447" s="28">
        <v>16</v>
      </c>
      <c r="B447" s="28" t="s">
        <v>60</v>
      </c>
      <c r="C447" s="28"/>
      <c r="D447" s="28"/>
      <c r="E447" s="29">
        <v>0.02</v>
      </c>
      <c r="F447" s="28" t="s">
        <v>49</v>
      </c>
      <c r="G447" s="29">
        <v>3.41895E-3</v>
      </c>
      <c r="H447" s="28" t="s">
        <v>49</v>
      </c>
      <c r="I447" s="29">
        <v>8.3333329999999997E-2</v>
      </c>
      <c r="J447" s="28" t="s">
        <v>53</v>
      </c>
      <c r="K447" s="29">
        <v>5.6999999999999996E-6</v>
      </c>
      <c r="L447" s="28"/>
      <c r="M447" s="30">
        <v>10</v>
      </c>
      <c r="N447" s="28"/>
      <c r="O447" s="29">
        <v>2.6718749999999998E-7</v>
      </c>
    </row>
    <row r="448" spans="1:15" x14ac:dyDescent="0.25">
      <c r="A448" s="28">
        <v>17</v>
      </c>
      <c r="B448" s="28" t="s">
        <v>9</v>
      </c>
      <c r="C448" s="28"/>
      <c r="D448" s="28"/>
      <c r="E448" s="29">
        <v>0.05</v>
      </c>
      <c r="F448" s="28" t="s">
        <v>49</v>
      </c>
      <c r="G448" s="29">
        <v>3.41895E-3</v>
      </c>
      <c r="H448" s="28" t="s">
        <v>49</v>
      </c>
      <c r="I448" s="29">
        <v>1</v>
      </c>
      <c r="J448" s="28" t="s">
        <v>53</v>
      </c>
      <c r="K448" s="29">
        <v>1.7095000000000001E-4</v>
      </c>
      <c r="L448" s="28"/>
      <c r="M448" s="30">
        <v>240</v>
      </c>
      <c r="N448" s="28"/>
      <c r="O448" s="29">
        <v>1.6026562500000001E-5</v>
      </c>
    </row>
    <row r="449" spans="1:15" x14ac:dyDescent="0.25">
      <c r="A449" s="28">
        <v>18</v>
      </c>
      <c r="B449" s="28" t="s">
        <v>229</v>
      </c>
      <c r="C449" s="28"/>
      <c r="D449" s="28"/>
      <c r="E449" s="29">
        <v>0.05</v>
      </c>
      <c r="F449" s="28" t="s">
        <v>49</v>
      </c>
      <c r="G449" s="29">
        <v>3.41895E-3</v>
      </c>
      <c r="H449" s="28" t="s">
        <v>49</v>
      </c>
      <c r="I449" s="29">
        <v>1</v>
      </c>
      <c r="J449" s="28" t="s">
        <v>53</v>
      </c>
      <c r="K449" s="29">
        <v>1.7095000000000001E-4</v>
      </c>
      <c r="L449" s="28"/>
      <c r="M449" s="30">
        <v>320</v>
      </c>
      <c r="N449" s="28"/>
      <c r="O449" s="29">
        <v>2.1368750000000001E-5</v>
      </c>
    </row>
    <row r="450" spans="1:15" x14ac:dyDescent="0.25">
      <c r="A450" s="28">
        <v>19</v>
      </c>
      <c r="B450" s="28" t="s">
        <v>216</v>
      </c>
      <c r="C450" s="28"/>
      <c r="D450" s="28"/>
      <c r="E450" s="29">
        <v>3.3333330000000001E-2</v>
      </c>
      <c r="F450" s="28" t="s">
        <v>49</v>
      </c>
      <c r="G450" s="29">
        <v>3.41895E-3</v>
      </c>
      <c r="H450" s="28" t="s">
        <v>49</v>
      </c>
      <c r="I450" s="29">
        <v>1</v>
      </c>
      <c r="J450" s="28" t="s">
        <v>53</v>
      </c>
      <c r="K450" s="29">
        <v>1.1396E-4</v>
      </c>
      <c r="L450" s="28"/>
      <c r="M450" s="30">
        <v>160</v>
      </c>
      <c r="N450" s="28"/>
      <c r="O450" s="29">
        <v>7.1225E-6</v>
      </c>
    </row>
    <row r="451" spans="1:15" x14ac:dyDescent="0.25">
      <c r="A451" s="18">
        <v>20</v>
      </c>
      <c r="B451" s="18" t="s">
        <v>230</v>
      </c>
      <c r="C451" s="18"/>
      <c r="D451" s="18"/>
      <c r="E451" s="19">
        <v>0.05</v>
      </c>
      <c r="F451" s="18" t="s">
        <v>49</v>
      </c>
      <c r="G451" s="19">
        <v>3.41895E-3</v>
      </c>
      <c r="H451" s="18" t="s">
        <v>49</v>
      </c>
      <c r="I451" s="19">
        <v>1</v>
      </c>
      <c r="J451" s="18" t="s">
        <v>53</v>
      </c>
      <c r="K451" s="19">
        <v>1.7095000000000001E-4</v>
      </c>
      <c r="L451" s="18"/>
      <c r="M451" s="20">
        <v>160</v>
      </c>
      <c r="N451" s="18"/>
      <c r="O451" s="19">
        <v>1.0684375000000001E-5</v>
      </c>
    </row>
    <row r="452" spans="1:15" x14ac:dyDescent="0.25">
      <c r="A452" s="21" t="s">
        <v>61</v>
      </c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3">
        <v>7.6837968750000001E-5</v>
      </c>
    </row>
    <row r="454" spans="1:15" x14ac:dyDescent="0.25">
      <c r="A454" s="26" t="s">
        <v>57</v>
      </c>
      <c r="B454" s="44" t="s">
        <v>298</v>
      </c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6"/>
    </row>
    <row r="455" spans="1:15" x14ac:dyDescent="0.25">
      <c r="A455" s="27" t="s">
        <v>214</v>
      </c>
      <c r="B455" s="41" t="s">
        <v>297</v>
      </c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3"/>
    </row>
    <row r="457" spans="1:15" x14ac:dyDescent="0.25">
      <c r="A457" s="28">
        <v>14</v>
      </c>
      <c r="B457" s="28" t="s">
        <v>140</v>
      </c>
      <c r="C457" s="28"/>
      <c r="D457" s="28"/>
      <c r="E457" s="29">
        <v>0.05</v>
      </c>
      <c r="F457" s="28" t="s">
        <v>49</v>
      </c>
      <c r="G457" s="29">
        <v>6.3494700000000003E-3</v>
      </c>
      <c r="H457" s="28" t="s">
        <v>49</v>
      </c>
      <c r="I457" s="29">
        <v>1</v>
      </c>
      <c r="J457" s="28" t="s">
        <v>53</v>
      </c>
      <c r="K457" s="29">
        <v>3.1746999999999998E-4</v>
      </c>
      <c r="L457" s="28"/>
      <c r="M457" s="30">
        <v>240</v>
      </c>
      <c r="N457" s="28"/>
      <c r="O457" s="29">
        <v>2.97628125E-5</v>
      </c>
    </row>
    <row r="458" spans="1:15" x14ac:dyDescent="0.25">
      <c r="A458" s="28">
        <v>15</v>
      </c>
      <c r="B458" s="28" t="s">
        <v>227</v>
      </c>
      <c r="C458" s="28"/>
      <c r="D458" s="28"/>
      <c r="E458" s="29">
        <v>0.05</v>
      </c>
      <c r="F458" s="28" t="s">
        <v>49</v>
      </c>
      <c r="G458" s="29">
        <v>6.3494700000000003E-3</v>
      </c>
      <c r="H458" s="28" t="s">
        <v>49</v>
      </c>
      <c r="I458" s="29">
        <v>1</v>
      </c>
      <c r="J458" s="28" t="s">
        <v>53</v>
      </c>
      <c r="K458" s="29">
        <v>3.1746999999999998E-4</v>
      </c>
      <c r="L458" s="28"/>
      <c r="M458" s="30">
        <v>40</v>
      </c>
      <c r="N458" s="28"/>
      <c r="O458" s="29">
        <v>4.9604687499999997E-6</v>
      </c>
    </row>
    <row r="459" spans="1:15" x14ac:dyDescent="0.25">
      <c r="A459" s="28">
        <v>16</v>
      </c>
      <c r="B459" s="28" t="s">
        <v>228</v>
      </c>
      <c r="C459" s="28"/>
      <c r="D459" s="28"/>
      <c r="E459" s="29">
        <v>0.05</v>
      </c>
      <c r="F459" s="28" t="s">
        <v>49</v>
      </c>
      <c r="G459" s="29">
        <v>6.3494700000000003E-3</v>
      </c>
      <c r="H459" s="28" t="s">
        <v>49</v>
      </c>
      <c r="I459" s="29">
        <v>0.33333332999999998</v>
      </c>
      <c r="J459" s="28" t="s">
        <v>53</v>
      </c>
      <c r="K459" s="29">
        <v>1.0582E-4</v>
      </c>
      <c r="L459" s="28"/>
      <c r="M459" s="30">
        <v>40</v>
      </c>
      <c r="N459" s="28"/>
      <c r="O459" s="29">
        <v>4.9603124999999998E-6</v>
      </c>
    </row>
    <row r="460" spans="1:15" x14ac:dyDescent="0.25">
      <c r="A460" s="28">
        <v>16</v>
      </c>
      <c r="B460" s="28" t="s">
        <v>60</v>
      </c>
      <c r="C460" s="28"/>
      <c r="D460" s="28"/>
      <c r="E460" s="29">
        <v>0.02</v>
      </c>
      <c r="F460" s="28" t="s">
        <v>49</v>
      </c>
      <c r="G460" s="29">
        <v>6.3494700000000003E-3</v>
      </c>
      <c r="H460" s="28" t="s">
        <v>49</v>
      </c>
      <c r="I460" s="29">
        <v>8.3333329999999997E-2</v>
      </c>
      <c r="J460" s="28" t="s">
        <v>53</v>
      </c>
      <c r="K460" s="29">
        <v>1.058E-5</v>
      </c>
      <c r="L460" s="28"/>
      <c r="M460" s="30">
        <v>10</v>
      </c>
      <c r="N460" s="28"/>
      <c r="O460" s="29">
        <v>4.9593750000000007E-7</v>
      </c>
    </row>
    <row r="461" spans="1:15" x14ac:dyDescent="0.25">
      <c r="A461" s="28">
        <v>17</v>
      </c>
      <c r="B461" s="28" t="s">
        <v>9</v>
      </c>
      <c r="C461" s="28"/>
      <c r="D461" s="28"/>
      <c r="E461" s="29">
        <v>0.05</v>
      </c>
      <c r="F461" s="28" t="s">
        <v>49</v>
      </c>
      <c r="G461" s="29">
        <v>6.3494700000000003E-3</v>
      </c>
      <c r="H461" s="28" t="s">
        <v>49</v>
      </c>
      <c r="I461" s="29">
        <v>1</v>
      </c>
      <c r="J461" s="28" t="s">
        <v>53</v>
      </c>
      <c r="K461" s="29">
        <v>3.1746999999999998E-4</v>
      </c>
      <c r="L461" s="28"/>
      <c r="M461" s="30">
        <v>240</v>
      </c>
      <c r="N461" s="28"/>
      <c r="O461" s="29">
        <v>2.97628125E-5</v>
      </c>
    </row>
    <row r="462" spans="1:15" x14ac:dyDescent="0.25">
      <c r="A462" s="28">
        <v>18</v>
      </c>
      <c r="B462" s="28" t="s">
        <v>229</v>
      </c>
      <c r="C462" s="28"/>
      <c r="D462" s="28"/>
      <c r="E462" s="29">
        <v>0.05</v>
      </c>
      <c r="F462" s="28" t="s">
        <v>49</v>
      </c>
      <c r="G462" s="29">
        <v>6.3494700000000003E-3</v>
      </c>
      <c r="H462" s="28" t="s">
        <v>49</v>
      </c>
      <c r="I462" s="29">
        <v>1</v>
      </c>
      <c r="J462" s="28" t="s">
        <v>53</v>
      </c>
      <c r="K462" s="29">
        <v>3.1746999999999998E-4</v>
      </c>
      <c r="L462" s="28"/>
      <c r="M462" s="30">
        <v>320</v>
      </c>
      <c r="N462" s="28"/>
      <c r="O462" s="29">
        <v>3.9683749999999998E-5</v>
      </c>
    </row>
    <row r="463" spans="1:15" x14ac:dyDescent="0.25">
      <c r="A463" s="28">
        <v>19</v>
      </c>
      <c r="B463" s="28" t="s">
        <v>216</v>
      </c>
      <c r="C463" s="28"/>
      <c r="D463" s="28"/>
      <c r="E463" s="29">
        <v>3.3333330000000001E-2</v>
      </c>
      <c r="F463" s="28" t="s">
        <v>49</v>
      </c>
      <c r="G463" s="29">
        <v>6.3494700000000003E-3</v>
      </c>
      <c r="H463" s="28" t="s">
        <v>49</v>
      </c>
      <c r="I463" s="29">
        <v>1</v>
      </c>
      <c r="J463" s="28" t="s">
        <v>53</v>
      </c>
      <c r="K463" s="29">
        <v>2.1164999999999999E-4</v>
      </c>
      <c r="L463" s="28"/>
      <c r="M463" s="30">
        <v>160</v>
      </c>
      <c r="N463" s="28"/>
      <c r="O463" s="29">
        <v>1.3228125E-5</v>
      </c>
    </row>
    <row r="464" spans="1:15" x14ac:dyDescent="0.25">
      <c r="A464" s="18">
        <v>20</v>
      </c>
      <c r="B464" s="18" t="s">
        <v>230</v>
      </c>
      <c r="C464" s="18"/>
      <c r="D464" s="18"/>
      <c r="E464" s="19">
        <v>0.05</v>
      </c>
      <c r="F464" s="18" t="s">
        <v>49</v>
      </c>
      <c r="G464" s="19">
        <v>6.3494700000000003E-3</v>
      </c>
      <c r="H464" s="18" t="s">
        <v>49</v>
      </c>
      <c r="I464" s="19">
        <v>1</v>
      </c>
      <c r="J464" s="18" t="s">
        <v>53</v>
      </c>
      <c r="K464" s="19">
        <v>3.1746999999999998E-4</v>
      </c>
      <c r="L464" s="18"/>
      <c r="M464" s="20">
        <v>160</v>
      </c>
      <c r="N464" s="18"/>
      <c r="O464" s="19">
        <v>1.9841874999999999E-5</v>
      </c>
    </row>
    <row r="465" spans="1:15" x14ac:dyDescent="0.25">
      <c r="A465" s="21" t="s">
        <v>61</v>
      </c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3">
        <v>1.4269609375E-4</v>
      </c>
    </row>
    <row r="467" spans="1:15" x14ac:dyDescent="0.25">
      <c r="A467" s="26" t="s">
        <v>57</v>
      </c>
      <c r="B467" s="44" t="s">
        <v>299</v>
      </c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6"/>
    </row>
    <row r="468" spans="1:15" x14ac:dyDescent="0.25">
      <c r="A468" s="27" t="s">
        <v>214</v>
      </c>
      <c r="B468" s="41" t="s">
        <v>262</v>
      </c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3"/>
    </row>
    <row r="470" spans="1:15" x14ac:dyDescent="0.25">
      <c r="A470" s="18">
        <v>2</v>
      </c>
      <c r="B470" s="18" t="s">
        <v>125</v>
      </c>
      <c r="C470" s="18" t="s">
        <v>242</v>
      </c>
      <c r="D470" s="18"/>
      <c r="E470" s="19">
        <v>3.0000000000000001E-3</v>
      </c>
      <c r="F470" s="18" t="s">
        <v>49</v>
      </c>
      <c r="G470" s="19">
        <v>0.5</v>
      </c>
      <c r="H470" s="18" t="s">
        <v>49</v>
      </c>
      <c r="I470" s="19">
        <v>0.1</v>
      </c>
      <c r="J470" s="18" t="s">
        <v>53</v>
      </c>
      <c r="K470" s="19">
        <v>1.4999999999999999E-4</v>
      </c>
      <c r="L470" s="18"/>
      <c r="M470" s="20">
        <v>31.864999999999998</v>
      </c>
      <c r="N470" s="18"/>
      <c r="O470" s="19">
        <v>1.8670898437500001E-5</v>
      </c>
    </row>
    <row r="471" spans="1:15" x14ac:dyDescent="0.25">
      <c r="A471" s="21" t="s">
        <v>61</v>
      </c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3">
        <v>1.8670898437500001E-5</v>
      </c>
    </row>
    <row r="473" spans="1:15" x14ac:dyDescent="0.25">
      <c r="A473" s="26" t="s">
        <v>57</v>
      </c>
      <c r="B473" s="44" t="s">
        <v>300</v>
      </c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6"/>
    </row>
    <row r="474" spans="1:15" x14ac:dyDescent="0.25">
      <c r="A474" s="27" t="s">
        <v>214</v>
      </c>
      <c r="B474" s="41" t="s">
        <v>262</v>
      </c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3"/>
    </row>
    <row r="476" spans="1:15" x14ac:dyDescent="0.25">
      <c r="A476" s="18">
        <v>2</v>
      </c>
      <c r="B476" s="18" t="s">
        <v>125</v>
      </c>
      <c r="C476" s="18" t="s">
        <v>242</v>
      </c>
      <c r="D476" s="18"/>
      <c r="E476" s="19">
        <v>3.0000000000000001E-3</v>
      </c>
      <c r="F476" s="18" t="s">
        <v>49</v>
      </c>
      <c r="G476" s="19">
        <v>0.5</v>
      </c>
      <c r="H476" s="18" t="s">
        <v>49</v>
      </c>
      <c r="I476" s="19">
        <v>0.1</v>
      </c>
      <c r="J476" s="18" t="s">
        <v>53</v>
      </c>
      <c r="K476" s="19">
        <v>1.4999999999999999E-4</v>
      </c>
      <c r="L476" s="18"/>
      <c r="M476" s="20">
        <v>31.864999999999998</v>
      </c>
      <c r="N476" s="18"/>
      <c r="O476" s="19">
        <v>1.8670898437500001E-5</v>
      </c>
    </row>
    <row r="477" spans="1:15" x14ac:dyDescent="0.25">
      <c r="A477" s="21" t="s">
        <v>61</v>
      </c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3">
        <v>1.8670898437500001E-5</v>
      </c>
    </row>
    <row r="479" spans="1:15" x14ac:dyDescent="0.25">
      <c r="A479" s="26" t="s">
        <v>57</v>
      </c>
      <c r="B479" s="44" t="s">
        <v>301</v>
      </c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6"/>
    </row>
    <row r="480" spans="1:15" x14ac:dyDescent="0.25">
      <c r="A480" s="27" t="s">
        <v>214</v>
      </c>
      <c r="B480" s="41" t="s">
        <v>68</v>
      </c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3"/>
    </row>
    <row r="482" spans="1:15" x14ac:dyDescent="0.25">
      <c r="A482" s="18">
        <v>28</v>
      </c>
      <c r="B482" s="18" t="s">
        <v>117</v>
      </c>
      <c r="C482" s="18"/>
      <c r="D482" s="18"/>
      <c r="E482" s="19">
        <v>3.3333330000000001E-2</v>
      </c>
      <c r="F482" s="18" t="s">
        <v>49</v>
      </c>
      <c r="G482" s="19">
        <v>8.3349999999999994E-2</v>
      </c>
      <c r="H482" s="18" t="s">
        <v>49</v>
      </c>
      <c r="I482" s="19">
        <v>1</v>
      </c>
      <c r="J482" s="18" t="s">
        <v>53</v>
      </c>
      <c r="K482" s="19">
        <v>2.7783299999999999E-3</v>
      </c>
      <c r="L482" s="18"/>
      <c r="M482" s="20">
        <v>480</v>
      </c>
      <c r="N482" s="18"/>
      <c r="O482" s="19">
        <v>5.2093687500000003E-4</v>
      </c>
    </row>
    <row r="483" spans="1:15" x14ac:dyDescent="0.25">
      <c r="A483" s="21" t="s">
        <v>61</v>
      </c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3">
        <v>5.2093687500000003E-4</v>
      </c>
    </row>
    <row r="485" spans="1:15" x14ac:dyDescent="0.25">
      <c r="A485" s="26" t="s">
        <v>57</v>
      </c>
      <c r="B485" s="44" t="s">
        <v>302</v>
      </c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6"/>
    </row>
    <row r="486" spans="1:15" x14ac:dyDescent="0.25">
      <c r="A486" s="27" t="s">
        <v>214</v>
      </c>
      <c r="B486" s="41" t="s">
        <v>68</v>
      </c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3"/>
    </row>
    <row r="488" spans="1:15" x14ac:dyDescent="0.25">
      <c r="A488" s="28">
        <v>1</v>
      </c>
      <c r="B488" s="28" t="s">
        <v>126</v>
      </c>
      <c r="C488" s="28"/>
      <c r="D488" s="28"/>
      <c r="E488" s="29">
        <v>3.3333330000000001E-2</v>
      </c>
      <c r="F488" s="28" t="s">
        <v>49</v>
      </c>
      <c r="G488" s="29">
        <v>8.3349999999999994E-2</v>
      </c>
      <c r="H488" s="28" t="s">
        <v>49</v>
      </c>
      <c r="I488" s="29">
        <v>1</v>
      </c>
      <c r="J488" s="28" t="s">
        <v>53</v>
      </c>
      <c r="K488" s="29">
        <v>2.7783299999999999E-3</v>
      </c>
      <c r="L488" s="28"/>
      <c r="M488" s="30">
        <v>1.35</v>
      </c>
      <c r="N488" s="28"/>
      <c r="O488" s="29">
        <v>1.4651349609375E-6</v>
      </c>
    </row>
    <row r="489" spans="1:15" x14ac:dyDescent="0.25">
      <c r="A489" s="28">
        <v>2</v>
      </c>
      <c r="B489" s="28" t="s">
        <v>29</v>
      </c>
      <c r="C489" s="28"/>
      <c r="D489" s="28"/>
      <c r="E489" s="29">
        <v>0.05</v>
      </c>
      <c r="F489" s="28" t="s">
        <v>49</v>
      </c>
      <c r="G489" s="29">
        <v>8.3349999999999994E-2</v>
      </c>
      <c r="H489" s="28" t="s">
        <v>49</v>
      </c>
      <c r="I489" s="29">
        <v>0.1</v>
      </c>
      <c r="J489" s="28" t="s">
        <v>53</v>
      </c>
      <c r="K489" s="29">
        <v>4.1675000000000002E-4</v>
      </c>
      <c r="L489" s="28"/>
      <c r="M489" s="30">
        <v>31.864999999999998</v>
      </c>
      <c r="N489" s="28"/>
      <c r="O489" s="29">
        <v>5.1873979492187502E-5</v>
      </c>
    </row>
    <row r="490" spans="1:15" x14ac:dyDescent="0.25">
      <c r="A490" s="28">
        <v>2</v>
      </c>
      <c r="B490" s="28" t="s">
        <v>226</v>
      </c>
      <c r="C490" s="28"/>
      <c r="D490" s="28"/>
      <c r="E490" s="29">
        <v>3.3333330000000001E-2</v>
      </c>
      <c r="F490" s="28" t="s">
        <v>49</v>
      </c>
      <c r="G490" s="29">
        <v>8.3349999999999994E-2</v>
      </c>
      <c r="H490" s="28" t="s">
        <v>49</v>
      </c>
      <c r="I490" s="29">
        <v>0.52500000000000002</v>
      </c>
      <c r="J490" s="28" t="s">
        <v>53</v>
      </c>
      <c r="K490" s="29">
        <v>1.4586200000000001E-3</v>
      </c>
      <c r="L490" s="28"/>
      <c r="M490" s="30">
        <v>167.29124999999999</v>
      </c>
      <c r="N490" s="28"/>
      <c r="O490" s="29">
        <v>1.81558305859375E-4</v>
      </c>
    </row>
    <row r="491" spans="1:15" x14ac:dyDescent="0.25">
      <c r="A491" s="28">
        <v>3</v>
      </c>
      <c r="B491" s="28" t="s">
        <v>87</v>
      </c>
      <c r="C491" s="28"/>
      <c r="D491" s="28"/>
      <c r="E491" s="29">
        <v>3.3333330000000001E-2</v>
      </c>
      <c r="F491" s="28" t="s">
        <v>49</v>
      </c>
      <c r="G491" s="29">
        <v>8.3349999999999994E-2</v>
      </c>
      <c r="H491" s="28" t="s">
        <v>49</v>
      </c>
      <c r="I491" s="29">
        <v>0.16666666999999999</v>
      </c>
      <c r="J491" s="28" t="s">
        <v>53</v>
      </c>
      <c r="K491" s="29">
        <v>4.6306E-4</v>
      </c>
      <c r="L491" s="28"/>
      <c r="M491" s="30">
        <v>40.000000999999997</v>
      </c>
      <c r="N491" s="28"/>
      <c r="O491" s="29">
        <v>4.3411875000000002E-5</v>
      </c>
    </row>
    <row r="492" spans="1:15" x14ac:dyDescent="0.25">
      <c r="A492" s="28">
        <v>3</v>
      </c>
      <c r="B492" s="28" t="s">
        <v>207</v>
      </c>
      <c r="C492" s="28" t="s">
        <v>35</v>
      </c>
      <c r="D492" s="28"/>
      <c r="E492" s="29">
        <v>0.05</v>
      </c>
      <c r="F492" s="28" t="s">
        <v>49</v>
      </c>
      <c r="G492" s="29">
        <v>8.3349999999999994E-2</v>
      </c>
      <c r="H492" s="28" t="s">
        <v>49</v>
      </c>
      <c r="I492" s="29">
        <v>0.125</v>
      </c>
      <c r="J492" s="28" t="s">
        <v>53</v>
      </c>
      <c r="K492" s="29">
        <v>5.2094000000000001E-4</v>
      </c>
      <c r="L492" s="28"/>
      <c r="M492" s="30">
        <v>30</v>
      </c>
      <c r="N492" s="28"/>
      <c r="O492" s="29">
        <v>4.8838124999999998E-5</v>
      </c>
    </row>
    <row r="493" spans="1:15" x14ac:dyDescent="0.25">
      <c r="A493" s="28">
        <v>3</v>
      </c>
      <c r="B493" s="28" t="s">
        <v>88</v>
      </c>
      <c r="C493" s="28"/>
      <c r="D493" s="28"/>
      <c r="E493" s="29">
        <v>3.3333330000000001E-2</v>
      </c>
      <c r="F493" s="28" t="s">
        <v>49</v>
      </c>
      <c r="G493" s="29">
        <v>8.3349999999999994E-2</v>
      </c>
      <c r="H493" s="28" t="s">
        <v>49</v>
      </c>
      <c r="I493" s="29">
        <v>0.16666666999999999</v>
      </c>
      <c r="J493" s="28" t="s">
        <v>53</v>
      </c>
      <c r="K493" s="29">
        <v>4.6306E-4</v>
      </c>
      <c r="L493" s="28"/>
      <c r="M493" s="30">
        <v>40.000000999999997</v>
      </c>
      <c r="N493" s="28"/>
      <c r="O493" s="29">
        <v>4.3411875000000002E-5</v>
      </c>
    </row>
    <row r="494" spans="1:15" x14ac:dyDescent="0.25">
      <c r="A494" s="28">
        <v>3</v>
      </c>
      <c r="B494" s="28" t="s">
        <v>25</v>
      </c>
      <c r="C494" s="28"/>
      <c r="D494" s="28"/>
      <c r="E494" s="29">
        <v>3.3333330000000001E-2</v>
      </c>
      <c r="F494" s="28" t="s">
        <v>49</v>
      </c>
      <c r="G494" s="29">
        <v>8.3349999999999994E-2</v>
      </c>
      <c r="H494" s="28" t="s">
        <v>49</v>
      </c>
      <c r="I494" s="29">
        <v>0.16666666999999999</v>
      </c>
      <c r="J494" s="28" t="s">
        <v>53</v>
      </c>
      <c r="K494" s="29">
        <v>4.6306E-4</v>
      </c>
      <c r="L494" s="28"/>
      <c r="M494" s="30">
        <v>40.000000999999997</v>
      </c>
      <c r="N494" s="28"/>
      <c r="O494" s="29">
        <v>4.3411875000000002E-5</v>
      </c>
    </row>
    <row r="495" spans="1:15" x14ac:dyDescent="0.25">
      <c r="A495" s="28">
        <v>3</v>
      </c>
      <c r="B495" s="28" t="s">
        <v>174</v>
      </c>
      <c r="C495" s="28" t="s">
        <v>35</v>
      </c>
      <c r="D495" s="28"/>
      <c r="E495" s="29">
        <v>0.05</v>
      </c>
      <c r="F495" s="28" t="s">
        <v>49</v>
      </c>
      <c r="G495" s="29">
        <v>8.3349999999999994E-2</v>
      </c>
      <c r="H495" s="28" t="s">
        <v>49</v>
      </c>
      <c r="I495" s="29">
        <v>0.125</v>
      </c>
      <c r="J495" s="28" t="s">
        <v>53</v>
      </c>
      <c r="K495" s="29">
        <v>5.2094000000000001E-4</v>
      </c>
      <c r="L495" s="28"/>
      <c r="M495" s="30">
        <v>30</v>
      </c>
      <c r="N495" s="28"/>
      <c r="O495" s="29">
        <v>4.8838124999999998E-5</v>
      </c>
    </row>
    <row r="496" spans="1:15" x14ac:dyDescent="0.25">
      <c r="A496" s="28">
        <v>3</v>
      </c>
      <c r="B496" s="28" t="s">
        <v>23</v>
      </c>
      <c r="C496" s="28"/>
      <c r="D496" s="28"/>
      <c r="E496" s="29">
        <v>3.3333330000000001E-2</v>
      </c>
      <c r="F496" s="28" t="s">
        <v>49</v>
      </c>
      <c r="G496" s="29">
        <v>8.3349999999999994E-2</v>
      </c>
      <c r="H496" s="28" t="s">
        <v>49</v>
      </c>
      <c r="I496" s="29">
        <v>6.25E-2</v>
      </c>
      <c r="J496" s="28" t="s">
        <v>53</v>
      </c>
      <c r="K496" s="29">
        <v>1.7364999999999999E-4</v>
      </c>
      <c r="L496" s="28"/>
      <c r="M496" s="30">
        <v>15</v>
      </c>
      <c r="N496" s="28"/>
      <c r="O496" s="29">
        <v>1.6279687499999998E-5</v>
      </c>
    </row>
    <row r="497" spans="1:15" x14ac:dyDescent="0.25">
      <c r="A497" s="28">
        <v>3</v>
      </c>
      <c r="B497" s="28" t="s">
        <v>21</v>
      </c>
      <c r="C497" s="28"/>
      <c r="D497" s="28"/>
      <c r="E497" s="29">
        <v>3.3333330000000001E-2</v>
      </c>
      <c r="F497" s="28" t="s">
        <v>49</v>
      </c>
      <c r="G497" s="29">
        <v>8.3349999999999994E-2</v>
      </c>
      <c r="H497" s="28" t="s">
        <v>49</v>
      </c>
      <c r="I497" s="29">
        <v>6.25E-2</v>
      </c>
      <c r="J497" s="28" t="s">
        <v>53</v>
      </c>
      <c r="K497" s="29">
        <v>1.7364999999999999E-4</v>
      </c>
      <c r="L497" s="28"/>
      <c r="M497" s="30">
        <v>15</v>
      </c>
      <c r="N497" s="28"/>
      <c r="O497" s="29">
        <v>1.6279687499999998E-5</v>
      </c>
    </row>
    <row r="498" spans="1:15" x14ac:dyDescent="0.25">
      <c r="A498" s="28">
        <v>3</v>
      </c>
      <c r="B498" s="28" t="s">
        <v>19</v>
      </c>
      <c r="C498" s="28"/>
      <c r="D498" s="28"/>
      <c r="E498" s="29">
        <v>3.3333330000000001E-2</v>
      </c>
      <c r="F498" s="28" t="s">
        <v>49</v>
      </c>
      <c r="G498" s="29">
        <v>8.3349999999999994E-2</v>
      </c>
      <c r="H498" s="28" t="s">
        <v>49</v>
      </c>
      <c r="I498" s="29">
        <v>0.125</v>
      </c>
      <c r="J498" s="28" t="s">
        <v>53</v>
      </c>
      <c r="K498" s="29">
        <v>3.4728999999999999E-4</v>
      </c>
      <c r="L498" s="28"/>
      <c r="M498" s="30">
        <v>30</v>
      </c>
      <c r="N498" s="28"/>
      <c r="O498" s="29">
        <v>3.2558437500000002E-5</v>
      </c>
    </row>
    <row r="499" spans="1:15" x14ac:dyDescent="0.25">
      <c r="A499" s="28">
        <v>4</v>
      </c>
      <c r="B499" s="28" t="s">
        <v>199</v>
      </c>
      <c r="C499" s="28"/>
      <c r="D499" s="28"/>
      <c r="E499" s="29">
        <v>3.3333330000000001E-2</v>
      </c>
      <c r="F499" s="28" t="s">
        <v>49</v>
      </c>
      <c r="G499" s="29">
        <v>8.3349999999999994E-2</v>
      </c>
      <c r="H499" s="28" t="s">
        <v>49</v>
      </c>
      <c r="I499" s="29">
        <v>1</v>
      </c>
      <c r="J499" s="28" t="s">
        <v>53</v>
      </c>
      <c r="K499" s="29">
        <v>2.7783299999999999E-3</v>
      </c>
      <c r="L499" s="28"/>
      <c r="M499" s="30">
        <v>80</v>
      </c>
      <c r="N499" s="28"/>
      <c r="O499" s="29">
        <v>8.6822812499999996E-5</v>
      </c>
    </row>
    <row r="500" spans="1:15" x14ac:dyDescent="0.25">
      <c r="A500" s="28">
        <v>14</v>
      </c>
      <c r="B500" s="28" t="s">
        <v>140</v>
      </c>
      <c r="C500" s="28"/>
      <c r="D500" s="28"/>
      <c r="E500" s="29">
        <v>0.05</v>
      </c>
      <c r="F500" s="28" t="s">
        <v>49</v>
      </c>
      <c r="G500" s="29">
        <v>8.172169E-2</v>
      </c>
      <c r="H500" s="28" t="s">
        <v>49</v>
      </c>
      <c r="I500" s="29">
        <v>1</v>
      </c>
      <c r="J500" s="28" t="s">
        <v>53</v>
      </c>
      <c r="K500" s="29">
        <v>4.0860799999999997E-3</v>
      </c>
      <c r="L500" s="28"/>
      <c r="M500" s="30">
        <v>240</v>
      </c>
      <c r="N500" s="28"/>
      <c r="O500" s="29">
        <v>3.8307E-4</v>
      </c>
    </row>
    <row r="501" spans="1:15" x14ac:dyDescent="0.25">
      <c r="A501" s="28">
        <v>15</v>
      </c>
      <c r="B501" s="28" t="s">
        <v>227</v>
      </c>
      <c r="C501" s="28"/>
      <c r="D501" s="28"/>
      <c r="E501" s="29">
        <v>0.05</v>
      </c>
      <c r="F501" s="28" t="s">
        <v>49</v>
      </c>
      <c r="G501" s="29">
        <v>8.172169E-2</v>
      </c>
      <c r="H501" s="28" t="s">
        <v>49</v>
      </c>
      <c r="I501" s="29">
        <v>1</v>
      </c>
      <c r="J501" s="28" t="s">
        <v>53</v>
      </c>
      <c r="K501" s="29">
        <v>4.0860799999999997E-3</v>
      </c>
      <c r="L501" s="28"/>
      <c r="M501" s="30">
        <v>40</v>
      </c>
      <c r="N501" s="28"/>
      <c r="O501" s="29">
        <v>6.3844999999999996E-5</v>
      </c>
    </row>
    <row r="502" spans="1:15" x14ac:dyDescent="0.25">
      <c r="A502" s="28">
        <v>16</v>
      </c>
      <c r="B502" s="28" t="s">
        <v>228</v>
      </c>
      <c r="C502" s="28"/>
      <c r="D502" s="28"/>
      <c r="E502" s="29">
        <v>0.05</v>
      </c>
      <c r="F502" s="28" t="s">
        <v>49</v>
      </c>
      <c r="G502" s="29">
        <v>8.172169E-2</v>
      </c>
      <c r="H502" s="28" t="s">
        <v>49</v>
      </c>
      <c r="I502" s="29">
        <v>0.33333332999999998</v>
      </c>
      <c r="J502" s="28" t="s">
        <v>53</v>
      </c>
      <c r="K502" s="29">
        <v>1.36203E-3</v>
      </c>
      <c r="L502" s="28"/>
      <c r="M502" s="30">
        <v>40</v>
      </c>
      <c r="N502" s="28"/>
      <c r="O502" s="29">
        <v>6.3845156249999995E-5</v>
      </c>
    </row>
    <row r="503" spans="1:15" x14ac:dyDescent="0.25">
      <c r="A503" s="28">
        <v>16</v>
      </c>
      <c r="B503" s="28" t="s">
        <v>60</v>
      </c>
      <c r="C503" s="28"/>
      <c r="D503" s="28"/>
      <c r="E503" s="29">
        <v>0.02</v>
      </c>
      <c r="F503" s="28" t="s">
        <v>49</v>
      </c>
      <c r="G503" s="29">
        <v>8.172169E-2</v>
      </c>
      <c r="H503" s="28" t="s">
        <v>49</v>
      </c>
      <c r="I503" s="29">
        <v>8.3333329999999997E-2</v>
      </c>
      <c r="J503" s="28" t="s">
        <v>53</v>
      </c>
      <c r="K503" s="29">
        <v>1.362E-4</v>
      </c>
      <c r="L503" s="28"/>
      <c r="M503" s="30">
        <v>10</v>
      </c>
      <c r="N503" s="28"/>
      <c r="O503" s="29">
        <v>6.3843750000000002E-6</v>
      </c>
    </row>
    <row r="504" spans="1:15" x14ac:dyDescent="0.25">
      <c r="A504" s="28">
        <v>17</v>
      </c>
      <c r="B504" s="28" t="s">
        <v>9</v>
      </c>
      <c r="C504" s="28"/>
      <c r="D504" s="28"/>
      <c r="E504" s="29">
        <v>0.05</v>
      </c>
      <c r="F504" s="28" t="s">
        <v>49</v>
      </c>
      <c r="G504" s="29">
        <v>8.172169E-2</v>
      </c>
      <c r="H504" s="28" t="s">
        <v>49</v>
      </c>
      <c r="I504" s="29">
        <v>1</v>
      </c>
      <c r="J504" s="28" t="s">
        <v>53</v>
      </c>
      <c r="K504" s="29">
        <v>4.0860799999999997E-3</v>
      </c>
      <c r="L504" s="28"/>
      <c r="M504" s="30">
        <v>240</v>
      </c>
      <c r="N504" s="28"/>
      <c r="O504" s="29">
        <v>3.8307E-4</v>
      </c>
    </row>
    <row r="505" spans="1:15" x14ac:dyDescent="0.25">
      <c r="A505" s="28">
        <v>18</v>
      </c>
      <c r="B505" s="28" t="s">
        <v>229</v>
      </c>
      <c r="C505" s="28"/>
      <c r="D505" s="28"/>
      <c r="E505" s="29">
        <v>0.05</v>
      </c>
      <c r="F505" s="28" t="s">
        <v>49</v>
      </c>
      <c r="G505" s="29">
        <v>8.172169E-2</v>
      </c>
      <c r="H505" s="28" t="s">
        <v>49</v>
      </c>
      <c r="I505" s="29">
        <v>1</v>
      </c>
      <c r="J505" s="28" t="s">
        <v>53</v>
      </c>
      <c r="K505" s="29">
        <v>4.0860799999999997E-3</v>
      </c>
      <c r="L505" s="28"/>
      <c r="M505" s="30">
        <v>320</v>
      </c>
      <c r="N505" s="28"/>
      <c r="O505" s="29">
        <v>5.1075999999999997E-4</v>
      </c>
    </row>
    <row r="506" spans="1:15" x14ac:dyDescent="0.25">
      <c r="A506" s="28">
        <v>19</v>
      </c>
      <c r="B506" s="28" t="s">
        <v>216</v>
      </c>
      <c r="C506" s="28"/>
      <c r="D506" s="28"/>
      <c r="E506" s="29">
        <v>3.3333330000000001E-2</v>
      </c>
      <c r="F506" s="28" t="s">
        <v>49</v>
      </c>
      <c r="G506" s="29">
        <v>8.172169E-2</v>
      </c>
      <c r="H506" s="28" t="s">
        <v>49</v>
      </c>
      <c r="I506" s="29">
        <v>1</v>
      </c>
      <c r="J506" s="28" t="s">
        <v>53</v>
      </c>
      <c r="K506" s="29">
        <v>2.7240599999999999E-3</v>
      </c>
      <c r="L506" s="28"/>
      <c r="M506" s="30">
        <v>160</v>
      </c>
      <c r="N506" s="28"/>
      <c r="O506" s="29">
        <v>1.7025375E-4</v>
      </c>
    </row>
    <row r="507" spans="1:15" x14ac:dyDescent="0.25">
      <c r="A507" s="18">
        <v>20</v>
      </c>
      <c r="B507" s="18" t="s">
        <v>230</v>
      </c>
      <c r="C507" s="18"/>
      <c r="D507" s="18"/>
      <c r="E507" s="19">
        <v>0.05</v>
      </c>
      <c r="F507" s="18" t="s">
        <v>49</v>
      </c>
      <c r="G507" s="19">
        <v>8.172169E-2</v>
      </c>
      <c r="H507" s="18" t="s">
        <v>49</v>
      </c>
      <c r="I507" s="19">
        <v>1</v>
      </c>
      <c r="J507" s="18" t="s">
        <v>53</v>
      </c>
      <c r="K507" s="19">
        <v>4.0860799999999997E-3</v>
      </c>
      <c r="L507" s="18"/>
      <c r="M507" s="20">
        <v>160</v>
      </c>
      <c r="N507" s="18"/>
      <c r="O507" s="19">
        <v>2.5537999999999998E-4</v>
      </c>
    </row>
    <row r="508" spans="1:15" x14ac:dyDescent="0.25">
      <c r="A508" s="21" t="s">
        <v>61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3">
        <v>2.4513582015625E-3</v>
      </c>
    </row>
    <row r="510" spans="1:15" x14ac:dyDescent="0.25">
      <c r="A510" s="26" t="s">
        <v>57</v>
      </c>
      <c r="B510" s="44" t="s">
        <v>303</v>
      </c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6"/>
    </row>
    <row r="511" spans="1:15" x14ac:dyDescent="0.25">
      <c r="A511" s="27" t="s">
        <v>214</v>
      </c>
      <c r="B511" s="41" t="s">
        <v>269</v>
      </c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3"/>
    </row>
    <row r="513" spans="1:15" x14ac:dyDescent="0.25">
      <c r="A513" s="18">
        <v>2</v>
      </c>
      <c r="B513" s="18" t="s">
        <v>125</v>
      </c>
      <c r="C513" s="18" t="s">
        <v>242</v>
      </c>
      <c r="D513" s="18"/>
      <c r="E513" s="19">
        <v>1.5E-3</v>
      </c>
      <c r="F513" s="18" t="s">
        <v>49</v>
      </c>
      <c r="G513" s="19">
        <v>0.5</v>
      </c>
      <c r="H513" s="18" t="s">
        <v>49</v>
      </c>
      <c r="I513" s="19">
        <v>0.1</v>
      </c>
      <c r="J513" s="18" t="s">
        <v>53</v>
      </c>
      <c r="K513" s="19">
        <v>7.4999999999999993E-5</v>
      </c>
      <c r="L513" s="18"/>
      <c r="M513" s="20">
        <v>31.864999999999998</v>
      </c>
      <c r="N513" s="18"/>
      <c r="O513" s="19">
        <v>9.3354492187499986E-6</v>
      </c>
    </row>
    <row r="514" spans="1:15" x14ac:dyDescent="0.25">
      <c r="A514" s="21" t="s">
        <v>61</v>
      </c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3">
        <v>9.3354492187499986E-6</v>
      </c>
    </row>
    <row r="516" spans="1:15" x14ac:dyDescent="0.25">
      <c r="A516" s="26" t="s">
        <v>57</v>
      </c>
      <c r="B516" s="44" t="s">
        <v>304</v>
      </c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6"/>
    </row>
    <row r="517" spans="1:15" x14ac:dyDescent="0.25">
      <c r="A517" s="27" t="s">
        <v>214</v>
      </c>
      <c r="B517" s="41" t="s">
        <v>269</v>
      </c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3"/>
    </row>
    <row r="519" spans="1:15" x14ac:dyDescent="0.25">
      <c r="A519" s="18">
        <v>2</v>
      </c>
      <c r="B519" s="18" t="s">
        <v>125</v>
      </c>
      <c r="C519" s="18" t="s">
        <v>242</v>
      </c>
      <c r="D519" s="18"/>
      <c r="E519" s="19">
        <v>1.5E-3</v>
      </c>
      <c r="F519" s="18" t="s">
        <v>49</v>
      </c>
      <c r="G519" s="19">
        <v>0.5</v>
      </c>
      <c r="H519" s="18" t="s">
        <v>49</v>
      </c>
      <c r="I519" s="19">
        <v>0.1</v>
      </c>
      <c r="J519" s="18" t="s">
        <v>53</v>
      </c>
      <c r="K519" s="19">
        <v>7.4999999999999993E-5</v>
      </c>
      <c r="L519" s="18"/>
      <c r="M519" s="20">
        <v>31.864999999999998</v>
      </c>
      <c r="N519" s="18"/>
      <c r="O519" s="19">
        <v>9.3354492187499986E-6</v>
      </c>
    </row>
    <row r="520" spans="1:15" x14ac:dyDescent="0.25">
      <c r="A520" s="21" t="s">
        <v>61</v>
      </c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3">
        <v>9.3354492187499986E-6</v>
      </c>
    </row>
    <row r="522" spans="1:15" x14ac:dyDescent="0.25">
      <c r="A522" s="26" t="s">
        <v>57</v>
      </c>
      <c r="B522" s="44" t="s">
        <v>305</v>
      </c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6"/>
    </row>
    <row r="523" spans="1:15" x14ac:dyDescent="0.25">
      <c r="A523" s="27" t="s">
        <v>214</v>
      </c>
      <c r="B523" s="41" t="s">
        <v>306</v>
      </c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3"/>
    </row>
    <row r="525" spans="1:15" x14ac:dyDescent="0.25">
      <c r="A525" s="28">
        <v>2</v>
      </c>
      <c r="B525" s="28" t="s">
        <v>31</v>
      </c>
      <c r="C525" s="28"/>
      <c r="D525" s="28"/>
      <c r="E525" s="29">
        <v>8.3333299999999999E-3</v>
      </c>
      <c r="F525" s="28" t="s">
        <v>49</v>
      </c>
      <c r="G525" s="29">
        <v>0.6</v>
      </c>
      <c r="H525" s="28" t="s">
        <v>49</v>
      </c>
      <c r="I525" s="29">
        <v>7.4999999999999997E-2</v>
      </c>
      <c r="J525" s="28" t="s">
        <v>53</v>
      </c>
      <c r="K525" s="29">
        <v>3.7500000000000001E-4</v>
      </c>
      <c r="L525" s="28"/>
      <c r="M525" s="30">
        <v>23.89875</v>
      </c>
      <c r="N525" s="28"/>
      <c r="O525" s="29">
        <v>4.667724609375E-5</v>
      </c>
    </row>
    <row r="526" spans="1:15" x14ac:dyDescent="0.25">
      <c r="A526" s="18">
        <v>2</v>
      </c>
      <c r="B526" s="18" t="s">
        <v>235</v>
      </c>
      <c r="C526" s="18" t="s">
        <v>41</v>
      </c>
      <c r="D526" s="18"/>
      <c r="E526" s="19">
        <v>8.3333299999999999E-3</v>
      </c>
      <c r="F526" s="18" t="s">
        <v>49</v>
      </c>
      <c r="G526" s="19">
        <v>0.6</v>
      </c>
      <c r="H526" s="18" t="s">
        <v>49</v>
      </c>
      <c r="I526" s="19">
        <v>0.2</v>
      </c>
      <c r="J526" s="18" t="s">
        <v>53</v>
      </c>
      <c r="K526" s="19">
        <v>1E-3</v>
      </c>
      <c r="L526" s="18"/>
      <c r="M526" s="20">
        <v>63.73</v>
      </c>
      <c r="N526" s="18"/>
      <c r="O526" s="19">
        <v>1.2447265624999999E-4</v>
      </c>
    </row>
    <row r="527" spans="1:15" x14ac:dyDescent="0.25">
      <c r="A527" s="21" t="s">
        <v>61</v>
      </c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3">
        <v>1.7114990234375001E-4</v>
      </c>
    </row>
    <row r="529" spans="1:15" x14ac:dyDescent="0.25">
      <c r="A529" s="26" t="s">
        <v>57</v>
      </c>
      <c r="B529" s="44" t="s">
        <v>307</v>
      </c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6"/>
    </row>
    <row r="530" spans="1:15" x14ac:dyDescent="0.25">
      <c r="A530" s="27" t="s">
        <v>214</v>
      </c>
      <c r="B530" s="41" t="s">
        <v>68</v>
      </c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3"/>
    </row>
    <row r="532" spans="1:15" x14ac:dyDescent="0.25">
      <c r="A532" s="28">
        <v>1</v>
      </c>
      <c r="B532" s="28" t="s">
        <v>126</v>
      </c>
      <c r="C532" s="28"/>
      <c r="D532" s="28"/>
      <c r="E532" s="29">
        <v>3.3333330000000001E-2</v>
      </c>
      <c r="F532" s="28" t="s">
        <v>49</v>
      </c>
      <c r="G532" s="29">
        <v>6.25E-2</v>
      </c>
      <c r="H532" s="28" t="s">
        <v>49</v>
      </c>
      <c r="I532" s="29">
        <v>1</v>
      </c>
      <c r="J532" s="28" t="s">
        <v>53</v>
      </c>
      <c r="K532" s="29">
        <v>2.08333E-3</v>
      </c>
      <c r="L532" s="28"/>
      <c r="M532" s="30">
        <v>1.35</v>
      </c>
      <c r="N532" s="28"/>
      <c r="O532" s="29">
        <v>1.0986310546875E-6</v>
      </c>
    </row>
    <row r="533" spans="1:15" x14ac:dyDescent="0.25">
      <c r="A533" s="28">
        <v>2</v>
      </c>
      <c r="B533" s="28" t="s">
        <v>226</v>
      </c>
      <c r="C533" s="28"/>
      <c r="D533" s="28"/>
      <c r="E533" s="29">
        <v>3.3333330000000001E-2</v>
      </c>
      <c r="F533" s="28" t="s">
        <v>49</v>
      </c>
      <c r="G533" s="29">
        <v>6.25E-2</v>
      </c>
      <c r="H533" s="28" t="s">
        <v>49</v>
      </c>
      <c r="I533" s="29">
        <v>0.52500000000000002</v>
      </c>
      <c r="J533" s="28" t="s">
        <v>53</v>
      </c>
      <c r="K533" s="29">
        <v>1.0937500000000001E-3</v>
      </c>
      <c r="L533" s="28"/>
      <c r="M533" s="30">
        <v>167.29124999999999</v>
      </c>
      <c r="N533" s="28"/>
      <c r="O533" s="29">
        <v>1.361419677734375E-4</v>
      </c>
    </row>
    <row r="534" spans="1:15" x14ac:dyDescent="0.25">
      <c r="A534" s="28">
        <v>2</v>
      </c>
      <c r="B534" s="28" t="s">
        <v>29</v>
      </c>
      <c r="C534" s="28"/>
      <c r="D534" s="28"/>
      <c r="E534" s="29">
        <v>0.05</v>
      </c>
      <c r="F534" s="28" t="s">
        <v>49</v>
      </c>
      <c r="G534" s="29">
        <v>6.25E-2</v>
      </c>
      <c r="H534" s="28" t="s">
        <v>49</v>
      </c>
      <c r="I534" s="29">
        <v>0.1</v>
      </c>
      <c r="J534" s="28" t="s">
        <v>53</v>
      </c>
      <c r="K534" s="29">
        <v>3.1250000000000001E-4</v>
      </c>
      <c r="L534" s="28"/>
      <c r="M534" s="30">
        <v>31.864999999999998</v>
      </c>
      <c r="N534" s="28"/>
      <c r="O534" s="29">
        <v>3.8897705078124999E-5</v>
      </c>
    </row>
    <row r="535" spans="1:15" x14ac:dyDescent="0.25">
      <c r="A535" s="28">
        <v>3</v>
      </c>
      <c r="B535" s="28" t="s">
        <v>25</v>
      </c>
      <c r="C535" s="28"/>
      <c r="D535" s="28"/>
      <c r="E535" s="29">
        <v>3.3333330000000001E-2</v>
      </c>
      <c r="F535" s="28" t="s">
        <v>49</v>
      </c>
      <c r="G535" s="29">
        <v>6.25E-2</v>
      </c>
      <c r="H535" s="28" t="s">
        <v>49</v>
      </c>
      <c r="I535" s="29">
        <v>0.16666666999999999</v>
      </c>
      <c r="J535" s="28" t="s">
        <v>53</v>
      </c>
      <c r="K535" s="29">
        <v>3.4722000000000003E-4</v>
      </c>
      <c r="L535" s="28"/>
      <c r="M535" s="30">
        <v>40.000000999999997</v>
      </c>
      <c r="N535" s="28"/>
      <c r="O535" s="29">
        <v>3.2551875000000001E-5</v>
      </c>
    </row>
    <row r="536" spans="1:15" x14ac:dyDescent="0.25">
      <c r="A536" s="28">
        <v>3</v>
      </c>
      <c r="B536" s="28" t="s">
        <v>88</v>
      </c>
      <c r="C536" s="28"/>
      <c r="D536" s="28"/>
      <c r="E536" s="29">
        <v>3.3333330000000001E-2</v>
      </c>
      <c r="F536" s="28" t="s">
        <v>49</v>
      </c>
      <c r="G536" s="29">
        <v>6.25E-2</v>
      </c>
      <c r="H536" s="28" t="s">
        <v>49</v>
      </c>
      <c r="I536" s="29">
        <v>0.16666666999999999</v>
      </c>
      <c r="J536" s="28" t="s">
        <v>53</v>
      </c>
      <c r="K536" s="29">
        <v>3.4722000000000003E-4</v>
      </c>
      <c r="L536" s="28"/>
      <c r="M536" s="30">
        <v>40.000000999999997</v>
      </c>
      <c r="N536" s="28"/>
      <c r="O536" s="29">
        <v>3.2551875000000001E-5</v>
      </c>
    </row>
    <row r="537" spans="1:15" x14ac:dyDescent="0.25">
      <c r="A537" s="28">
        <v>3</v>
      </c>
      <c r="B537" s="28" t="s">
        <v>174</v>
      </c>
      <c r="C537" s="28" t="s">
        <v>35</v>
      </c>
      <c r="D537" s="28"/>
      <c r="E537" s="29">
        <v>0.05</v>
      </c>
      <c r="F537" s="28" t="s">
        <v>49</v>
      </c>
      <c r="G537" s="29">
        <v>6.25E-2</v>
      </c>
      <c r="H537" s="28" t="s">
        <v>49</v>
      </c>
      <c r="I537" s="29">
        <v>0.125</v>
      </c>
      <c r="J537" s="28" t="s">
        <v>53</v>
      </c>
      <c r="K537" s="29">
        <v>3.9062999999999999E-4</v>
      </c>
      <c r="L537" s="28"/>
      <c r="M537" s="30">
        <v>30</v>
      </c>
      <c r="N537" s="28"/>
      <c r="O537" s="29">
        <v>3.6621562500000003E-5</v>
      </c>
    </row>
    <row r="538" spans="1:15" x14ac:dyDescent="0.25">
      <c r="A538" s="28">
        <v>3</v>
      </c>
      <c r="B538" s="28" t="s">
        <v>207</v>
      </c>
      <c r="C538" s="28" t="s">
        <v>35</v>
      </c>
      <c r="D538" s="28"/>
      <c r="E538" s="29">
        <v>0.05</v>
      </c>
      <c r="F538" s="28" t="s">
        <v>49</v>
      </c>
      <c r="G538" s="29">
        <v>6.25E-2</v>
      </c>
      <c r="H538" s="28" t="s">
        <v>49</v>
      </c>
      <c r="I538" s="29">
        <v>0.125</v>
      </c>
      <c r="J538" s="28" t="s">
        <v>53</v>
      </c>
      <c r="K538" s="29">
        <v>3.9062999999999999E-4</v>
      </c>
      <c r="L538" s="28"/>
      <c r="M538" s="30">
        <v>30</v>
      </c>
      <c r="N538" s="28"/>
      <c r="O538" s="29">
        <v>3.6621562500000003E-5</v>
      </c>
    </row>
    <row r="539" spans="1:15" x14ac:dyDescent="0.25">
      <c r="A539" s="28">
        <v>3</v>
      </c>
      <c r="B539" s="28" t="s">
        <v>23</v>
      </c>
      <c r="C539" s="28"/>
      <c r="D539" s="28"/>
      <c r="E539" s="29">
        <v>3.3333330000000001E-2</v>
      </c>
      <c r="F539" s="28" t="s">
        <v>49</v>
      </c>
      <c r="G539" s="29">
        <v>6.25E-2</v>
      </c>
      <c r="H539" s="28" t="s">
        <v>49</v>
      </c>
      <c r="I539" s="29">
        <v>6.25E-2</v>
      </c>
      <c r="J539" s="28" t="s">
        <v>53</v>
      </c>
      <c r="K539" s="29">
        <v>1.3020999999999999E-4</v>
      </c>
      <c r="L539" s="28"/>
      <c r="M539" s="30">
        <v>15</v>
      </c>
      <c r="N539" s="28"/>
      <c r="O539" s="29">
        <v>1.22071875E-5</v>
      </c>
    </row>
    <row r="540" spans="1:15" x14ac:dyDescent="0.25">
      <c r="A540" s="28">
        <v>3</v>
      </c>
      <c r="B540" s="28" t="s">
        <v>21</v>
      </c>
      <c r="C540" s="28"/>
      <c r="D540" s="28"/>
      <c r="E540" s="29">
        <v>3.3333330000000001E-2</v>
      </c>
      <c r="F540" s="28" t="s">
        <v>49</v>
      </c>
      <c r="G540" s="29">
        <v>6.25E-2</v>
      </c>
      <c r="H540" s="28" t="s">
        <v>49</v>
      </c>
      <c r="I540" s="29">
        <v>6.25E-2</v>
      </c>
      <c r="J540" s="28" t="s">
        <v>53</v>
      </c>
      <c r="K540" s="29">
        <v>1.3020999999999999E-4</v>
      </c>
      <c r="L540" s="28"/>
      <c r="M540" s="30">
        <v>15</v>
      </c>
      <c r="N540" s="28"/>
      <c r="O540" s="29">
        <v>1.22071875E-5</v>
      </c>
    </row>
    <row r="541" spans="1:15" x14ac:dyDescent="0.25">
      <c r="A541" s="28">
        <v>3</v>
      </c>
      <c r="B541" s="28" t="s">
        <v>19</v>
      </c>
      <c r="C541" s="28"/>
      <c r="D541" s="28"/>
      <c r="E541" s="29">
        <v>3.3333330000000001E-2</v>
      </c>
      <c r="F541" s="28" t="s">
        <v>49</v>
      </c>
      <c r="G541" s="29">
        <v>6.25E-2</v>
      </c>
      <c r="H541" s="28" t="s">
        <v>49</v>
      </c>
      <c r="I541" s="29">
        <v>0.125</v>
      </c>
      <c r="J541" s="28" t="s">
        <v>53</v>
      </c>
      <c r="K541" s="29">
        <v>2.6041999999999998E-4</v>
      </c>
      <c r="L541" s="28"/>
      <c r="M541" s="30">
        <v>30</v>
      </c>
      <c r="N541" s="28"/>
      <c r="O541" s="29">
        <v>2.4414374999999999E-5</v>
      </c>
    </row>
    <row r="542" spans="1:15" x14ac:dyDescent="0.25">
      <c r="A542" s="28">
        <v>3</v>
      </c>
      <c r="B542" s="28" t="s">
        <v>87</v>
      </c>
      <c r="C542" s="28"/>
      <c r="D542" s="28"/>
      <c r="E542" s="29">
        <v>3.3333330000000001E-2</v>
      </c>
      <c r="F542" s="28" t="s">
        <v>49</v>
      </c>
      <c r="G542" s="29">
        <v>6.25E-2</v>
      </c>
      <c r="H542" s="28" t="s">
        <v>49</v>
      </c>
      <c r="I542" s="29">
        <v>0.16666666999999999</v>
      </c>
      <c r="J542" s="28" t="s">
        <v>53</v>
      </c>
      <c r="K542" s="29">
        <v>3.4722000000000003E-4</v>
      </c>
      <c r="L542" s="28"/>
      <c r="M542" s="30">
        <v>40.000000999999997</v>
      </c>
      <c r="N542" s="28"/>
      <c r="O542" s="29">
        <v>3.2551875000000001E-5</v>
      </c>
    </row>
    <row r="543" spans="1:15" x14ac:dyDescent="0.25">
      <c r="A543" s="28">
        <v>4</v>
      </c>
      <c r="B543" s="28" t="s">
        <v>199</v>
      </c>
      <c r="C543" s="28"/>
      <c r="D543" s="28"/>
      <c r="E543" s="29">
        <v>3.3333330000000001E-2</v>
      </c>
      <c r="F543" s="28" t="s">
        <v>49</v>
      </c>
      <c r="G543" s="29">
        <v>6.25E-2</v>
      </c>
      <c r="H543" s="28" t="s">
        <v>49</v>
      </c>
      <c r="I543" s="29">
        <v>1</v>
      </c>
      <c r="J543" s="28" t="s">
        <v>53</v>
      </c>
      <c r="K543" s="29">
        <v>2.08333E-3</v>
      </c>
      <c r="L543" s="28"/>
      <c r="M543" s="30">
        <v>80</v>
      </c>
      <c r="N543" s="28"/>
      <c r="O543" s="29">
        <v>6.51040625E-5</v>
      </c>
    </row>
    <row r="544" spans="1:15" x14ac:dyDescent="0.25">
      <c r="A544" s="28">
        <v>14</v>
      </c>
      <c r="B544" s="28" t="s">
        <v>140</v>
      </c>
      <c r="C544" s="28"/>
      <c r="D544" s="28"/>
      <c r="E544" s="29">
        <v>0.05</v>
      </c>
      <c r="F544" s="28" t="s">
        <v>49</v>
      </c>
      <c r="G544" s="29">
        <v>6.25E-2</v>
      </c>
      <c r="H544" s="28" t="s">
        <v>49</v>
      </c>
      <c r="I544" s="29">
        <v>1</v>
      </c>
      <c r="J544" s="28" t="s">
        <v>53</v>
      </c>
      <c r="K544" s="29">
        <v>3.1250000000000002E-3</v>
      </c>
      <c r="L544" s="28"/>
      <c r="M544" s="30">
        <v>240</v>
      </c>
      <c r="N544" s="28"/>
      <c r="O544" s="29">
        <v>2.9296874999999999E-4</v>
      </c>
    </row>
    <row r="545" spans="1:15" x14ac:dyDescent="0.25">
      <c r="A545" s="28">
        <v>15</v>
      </c>
      <c r="B545" s="28" t="s">
        <v>227</v>
      </c>
      <c r="C545" s="28"/>
      <c r="D545" s="28"/>
      <c r="E545" s="29">
        <v>0.05</v>
      </c>
      <c r="F545" s="28" t="s">
        <v>49</v>
      </c>
      <c r="G545" s="29">
        <v>6.25E-2</v>
      </c>
      <c r="H545" s="28" t="s">
        <v>49</v>
      </c>
      <c r="I545" s="29">
        <v>1</v>
      </c>
      <c r="J545" s="28" t="s">
        <v>53</v>
      </c>
      <c r="K545" s="29">
        <v>3.1250000000000002E-3</v>
      </c>
      <c r="L545" s="28"/>
      <c r="M545" s="30">
        <v>40</v>
      </c>
      <c r="N545" s="28"/>
      <c r="O545" s="29">
        <v>4.8828125000000003E-5</v>
      </c>
    </row>
    <row r="546" spans="1:15" x14ac:dyDescent="0.25">
      <c r="A546" s="28">
        <v>16</v>
      </c>
      <c r="B546" s="28" t="s">
        <v>228</v>
      </c>
      <c r="C546" s="28"/>
      <c r="D546" s="28"/>
      <c r="E546" s="29">
        <v>0.05</v>
      </c>
      <c r="F546" s="28" t="s">
        <v>49</v>
      </c>
      <c r="G546" s="29">
        <v>6.25E-2</v>
      </c>
      <c r="H546" s="28" t="s">
        <v>49</v>
      </c>
      <c r="I546" s="29">
        <v>0.33333332999999998</v>
      </c>
      <c r="J546" s="28" t="s">
        <v>53</v>
      </c>
      <c r="K546" s="29">
        <v>1.04167E-3</v>
      </c>
      <c r="L546" s="28"/>
      <c r="M546" s="30">
        <v>40</v>
      </c>
      <c r="N546" s="28"/>
      <c r="O546" s="29">
        <v>4.8828281250000002E-5</v>
      </c>
    </row>
    <row r="547" spans="1:15" x14ac:dyDescent="0.25">
      <c r="A547" s="28">
        <v>16</v>
      </c>
      <c r="B547" s="28" t="s">
        <v>60</v>
      </c>
      <c r="C547" s="28"/>
      <c r="D547" s="28"/>
      <c r="E547" s="29">
        <v>0.02</v>
      </c>
      <c r="F547" s="28" t="s">
        <v>49</v>
      </c>
      <c r="G547" s="29">
        <v>6.25E-2</v>
      </c>
      <c r="H547" s="28" t="s">
        <v>49</v>
      </c>
      <c r="I547" s="29">
        <v>8.3333329999999997E-2</v>
      </c>
      <c r="J547" s="28" t="s">
        <v>53</v>
      </c>
      <c r="K547" s="29">
        <v>1.0417E-4</v>
      </c>
      <c r="L547" s="28"/>
      <c r="M547" s="30">
        <v>10</v>
      </c>
      <c r="N547" s="28"/>
      <c r="O547" s="29">
        <v>4.88296875E-6</v>
      </c>
    </row>
    <row r="548" spans="1:15" x14ac:dyDescent="0.25">
      <c r="A548" s="28">
        <v>17</v>
      </c>
      <c r="B548" s="28" t="s">
        <v>9</v>
      </c>
      <c r="C548" s="28"/>
      <c r="D548" s="28"/>
      <c r="E548" s="29">
        <v>0.05</v>
      </c>
      <c r="F548" s="28" t="s">
        <v>49</v>
      </c>
      <c r="G548" s="29">
        <v>6.25E-2</v>
      </c>
      <c r="H548" s="28" t="s">
        <v>49</v>
      </c>
      <c r="I548" s="29">
        <v>1</v>
      </c>
      <c r="J548" s="28" t="s">
        <v>53</v>
      </c>
      <c r="K548" s="29">
        <v>3.1250000000000002E-3</v>
      </c>
      <c r="L548" s="28"/>
      <c r="M548" s="30">
        <v>240</v>
      </c>
      <c r="N548" s="28"/>
      <c r="O548" s="29">
        <v>2.9296874999999999E-4</v>
      </c>
    </row>
    <row r="549" spans="1:15" x14ac:dyDescent="0.25">
      <c r="A549" s="28">
        <v>18</v>
      </c>
      <c r="B549" s="28" t="s">
        <v>229</v>
      </c>
      <c r="C549" s="28"/>
      <c r="D549" s="28"/>
      <c r="E549" s="29">
        <v>0.05</v>
      </c>
      <c r="F549" s="28" t="s">
        <v>49</v>
      </c>
      <c r="G549" s="29">
        <v>6.25E-2</v>
      </c>
      <c r="H549" s="28" t="s">
        <v>49</v>
      </c>
      <c r="I549" s="29">
        <v>1</v>
      </c>
      <c r="J549" s="28" t="s">
        <v>53</v>
      </c>
      <c r="K549" s="29">
        <v>3.1250000000000002E-3</v>
      </c>
      <c r="L549" s="28"/>
      <c r="M549" s="30">
        <v>320</v>
      </c>
      <c r="N549" s="28"/>
      <c r="O549" s="29">
        <v>3.9062500000000002E-4</v>
      </c>
    </row>
    <row r="550" spans="1:15" x14ac:dyDescent="0.25">
      <c r="A550" s="28">
        <v>19</v>
      </c>
      <c r="B550" s="28" t="s">
        <v>216</v>
      </c>
      <c r="C550" s="28"/>
      <c r="D550" s="28"/>
      <c r="E550" s="29">
        <v>3.3333330000000001E-2</v>
      </c>
      <c r="F550" s="28" t="s">
        <v>49</v>
      </c>
      <c r="G550" s="29">
        <v>6.25E-2</v>
      </c>
      <c r="H550" s="28" t="s">
        <v>49</v>
      </c>
      <c r="I550" s="29">
        <v>1</v>
      </c>
      <c r="J550" s="28" t="s">
        <v>53</v>
      </c>
      <c r="K550" s="29">
        <v>2.08333E-3</v>
      </c>
      <c r="L550" s="28"/>
      <c r="M550" s="30">
        <v>160</v>
      </c>
      <c r="N550" s="28"/>
      <c r="O550" s="29">
        <v>1.30208125E-4</v>
      </c>
    </row>
    <row r="551" spans="1:15" x14ac:dyDescent="0.25">
      <c r="A551" s="28">
        <v>20</v>
      </c>
      <c r="B551" s="28" t="s">
        <v>230</v>
      </c>
      <c r="C551" s="28"/>
      <c r="D551" s="28"/>
      <c r="E551" s="29">
        <v>0.05</v>
      </c>
      <c r="F551" s="28" t="s">
        <v>49</v>
      </c>
      <c r="G551" s="29">
        <v>6.25E-2</v>
      </c>
      <c r="H551" s="28" t="s">
        <v>49</v>
      </c>
      <c r="I551" s="29">
        <v>1</v>
      </c>
      <c r="J551" s="28" t="s">
        <v>53</v>
      </c>
      <c r="K551" s="29">
        <v>3.1250000000000002E-3</v>
      </c>
      <c r="L551" s="28"/>
      <c r="M551" s="30">
        <v>160</v>
      </c>
      <c r="N551" s="28"/>
      <c r="O551" s="29">
        <v>1.9531250000000001E-4</v>
      </c>
    </row>
    <row r="552" spans="1:15" x14ac:dyDescent="0.25">
      <c r="A552" s="18">
        <v>28</v>
      </c>
      <c r="B552" s="18" t="s">
        <v>117</v>
      </c>
      <c r="C552" s="18"/>
      <c r="D552" s="18"/>
      <c r="E552" s="19">
        <v>3.3333330000000001E-2</v>
      </c>
      <c r="F552" s="18" t="s">
        <v>49</v>
      </c>
      <c r="G552" s="19">
        <v>6.25E-2</v>
      </c>
      <c r="H552" s="18" t="s">
        <v>49</v>
      </c>
      <c r="I552" s="19">
        <v>1</v>
      </c>
      <c r="J552" s="18" t="s">
        <v>53</v>
      </c>
      <c r="K552" s="19">
        <v>2.08333E-3</v>
      </c>
      <c r="L552" s="18"/>
      <c r="M552" s="20">
        <v>480</v>
      </c>
      <c r="N552" s="18"/>
      <c r="O552" s="19">
        <v>3.9062437500000003E-4</v>
      </c>
    </row>
    <row r="553" spans="1:15" x14ac:dyDescent="0.25">
      <c r="A553" s="21" t="s">
        <v>61</v>
      </c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3">
        <v>2.2562167414062499E-3</v>
      </c>
    </row>
  </sheetData>
  <mergeCells count="104">
    <mergeCell ref="B3:O3"/>
    <mergeCell ref="B454:O454"/>
    <mergeCell ref="B140:O140"/>
    <mergeCell ref="B529:O529"/>
    <mergeCell ref="B240:O240"/>
    <mergeCell ref="B523:O523"/>
    <mergeCell ref="B480:O480"/>
    <mergeCell ref="B455:O455"/>
    <mergeCell ref="B29:O29"/>
    <mergeCell ref="B339:O339"/>
    <mergeCell ref="B281:O281"/>
    <mergeCell ref="B403:O403"/>
    <mergeCell ref="B434:O434"/>
    <mergeCell ref="B133:O133"/>
    <mergeCell ref="B486:O486"/>
    <mergeCell ref="B313:O313"/>
    <mergeCell ref="B378:O378"/>
    <mergeCell ref="B418:O418"/>
    <mergeCell ref="B442:O442"/>
    <mergeCell ref="B134:O134"/>
    <mergeCell ref="B30:O30"/>
    <mergeCell ref="B359:O359"/>
    <mergeCell ref="B76:O76"/>
    <mergeCell ref="B189:O189"/>
    <mergeCell ref="B216:O216"/>
    <mergeCell ref="B94:O94"/>
    <mergeCell ref="B474:O474"/>
    <mergeCell ref="B255:O255"/>
    <mergeCell ref="B81:O81"/>
    <mergeCell ref="B435:O435"/>
    <mergeCell ref="B366:O366"/>
    <mergeCell ref="B56:O56"/>
    <mergeCell ref="B307:O307"/>
    <mergeCell ref="B347:O347"/>
    <mergeCell ref="B228:O228"/>
    <mergeCell ref="B468:O468"/>
    <mergeCell ref="B120:O120"/>
    <mergeCell ref="B88:O88"/>
    <mergeCell ref="B82:O82"/>
    <mergeCell ref="B333:O333"/>
    <mergeCell ref="B234:O234"/>
    <mergeCell ref="B146:O146"/>
    <mergeCell ref="B268:O268"/>
    <mergeCell ref="B404:O404"/>
    <mergeCell ref="B249:O249"/>
    <mergeCell ref="B314:O314"/>
    <mergeCell ref="B354:O354"/>
    <mergeCell ref="B467:O467"/>
    <mergeCell ref="B127:O127"/>
    <mergeCell ref="B510:O510"/>
    <mergeCell ref="B239:O239"/>
    <mergeCell ref="B254:O254"/>
    <mergeCell ref="B372:O372"/>
    <mergeCell ref="B485:O485"/>
    <mergeCell ref="B365:O365"/>
    <mergeCell ref="B261:O261"/>
    <mergeCell ref="B248:O248"/>
    <mergeCell ref="B441:O441"/>
    <mergeCell ref="B353:O353"/>
    <mergeCell ref="B377:O377"/>
    <mergeCell ref="B119:O119"/>
    <mergeCell ref="B4:O4"/>
    <mergeCell ref="B126:O126"/>
    <mergeCell ref="B75:O75"/>
    <mergeCell ref="B522:O522"/>
    <mergeCell ref="B62:O62"/>
    <mergeCell ref="B233:O233"/>
    <mergeCell ref="B516:O516"/>
    <mergeCell ref="B227:O227"/>
    <mergeCell ref="B321:O321"/>
    <mergeCell ref="B190:O190"/>
    <mergeCell ref="B473:O473"/>
    <mergeCell ref="B282:O282"/>
    <mergeCell ref="B346:O346"/>
    <mergeCell ref="B517:O517"/>
    <mergeCell ref="B68:O68"/>
    <mergeCell ref="B63:O63"/>
    <mergeCell ref="B417:O417"/>
    <mergeCell ref="B69:O69"/>
    <mergeCell ref="B182:O182"/>
    <mergeCell ref="B511:O511"/>
    <mergeCell ref="B55:O55"/>
    <mergeCell ref="B183:O183"/>
    <mergeCell ref="B275:O275"/>
    <mergeCell ref="B340:O340"/>
    <mergeCell ref="B530:O530"/>
    <mergeCell ref="B145:O145"/>
    <mergeCell ref="B274:O274"/>
    <mergeCell ref="B87:O87"/>
    <mergeCell ref="B371:O371"/>
    <mergeCell ref="B267:O267"/>
    <mergeCell ref="B308:O308"/>
    <mergeCell ref="B260:O260"/>
    <mergeCell ref="B360:O360"/>
    <mergeCell ref="B139:O139"/>
    <mergeCell ref="B222:O222"/>
    <mergeCell ref="B221:O221"/>
    <mergeCell ref="B334:O334"/>
    <mergeCell ref="B479:O479"/>
    <mergeCell ref="B327:O327"/>
    <mergeCell ref="B93:O93"/>
    <mergeCell ref="B320:O320"/>
    <mergeCell ref="B326:O326"/>
    <mergeCell ref="B215:O215"/>
  </mergeCells>
  <pageMargins left="0.25" right="0.25" top="0.75" bottom="0.75" header="0.3" footer="0.3"/>
  <pageSetup fitToHeight="0" orientation="landscape"/>
  <headerFooter scaleWithDoc="0">
    <oddHeader>&amp;C&amp;"Times New Roman,Bold"&amp;11 Schedule 2.3: Overriding Royalty Interests (Unit-Based)</oddHeader>
    <oddFooter>&amp;C&amp;"Times New Roman"&amp;10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74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3" customWidth="1"/>
    <col min="4" max="4" width="3" customWidth="1"/>
    <col min="5" max="5" width="12" customWidth="1"/>
    <col min="6" max="6" width="3" customWidth="1"/>
    <col min="7" max="7" width="12" customWidth="1"/>
    <col min="8" max="8" width="2" customWidth="1"/>
    <col min="9" max="9" width="5" customWidth="1"/>
    <col min="10" max="10" width="2" customWidth="1"/>
    <col min="11" max="11" width="12" customWidth="1"/>
    <col min="12" max="12" width="4" customWidth="1"/>
    <col min="13" max="13" width="12" customWidth="1"/>
    <col min="14" max="14" width="3" customWidth="1"/>
    <col min="15" max="15" width="12" customWidth="1"/>
    <col min="16" max="16" width="4" customWidth="1"/>
    <col min="17" max="17" width="12" customWidth="1"/>
    <col min="18" max="18" width="2" customWidth="1"/>
    <col min="19" max="19" width="12" customWidth="1"/>
  </cols>
  <sheetData>
    <row r="1" spans="1:19" ht="26.25" x14ac:dyDescent="0.25">
      <c r="A1" s="25" t="s">
        <v>45</v>
      </c>
      <c r="B1" s="25" t="s">
        <v>46</v>
      </c>
      <c r="C1" s="25" t="s">
        <v>47</v>
      </c>
      <c r="D1" s="25"/>
      <c r="E1" s="25" t="s">
        <v>308</v>
      </c>
      <c r="F1" s="25"/>
      <c r="G1" s="25" t="s">
        <v>55</v>
      </c>
      <c r="H1" s="25"/>
      <c r="I1" s="25" t="s">
        <v>19</v>
      </c>
      <c r="J1" s="25" t="s">
        <v>51</v>
      </c>
      <c r="K1" s="25" t="s">
        <v>50</v>
      </c>
      <c r="L1" s="25" t="s">
        <v>51</v>
      </c>
      <c r="M1" s="25" t="s">
        <v>309</v>
      </c>
      <c r="N1" s="25" t="s">
        <v>49</v>
      </c>
      <c r="O1" s="25" t="s">
        <v>310</v>
      </c>
      <c r="P1" s="25" t="s">
        <v>53</v>
      </c>
      <c r="Q1" s="25" t="s">
        <v>54</v>
      </c>
      <c r="R1" s="25"/>
      <c r="S1" s="25" t="s">
        <v>56</v>
      </c>
    </row>
    <row r="3" spans="1:19" x14ac:dyDescent="0.25">
      <c r="A3" s="26" t="s">
        <v>57</v>
      </c>
      <c r="B3" s="44" t="s">
        <v>311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</row>
    <row r="4" spans="1:19" x14ac:dyDescent="0.25">
      <c r="A4" s="27" t="s">
        <v>214</v>
      </c>
      <c r="B4" s="41" t="s">
        <v>312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3"/>
    </row>
    <row r="6" spans="1:19" x14ac:dyDescent="0.25">
      <c r="A6" s="28">
        <v>14</v>
      </c>
      <c r="B6" s="28" t="s">
        <v>140</v>
      </c>
      <c r="C6" s="28"/>
      <c r="D6" s="28"/>
      <c r="E6" s="29">
        <v>1.261203E-2</v>
      </c>
      <c r="F6" s="28"/>
      <c r="G6" s="30">
        <v>3.0268869999999999</v>
      </c>
      <c r="H6" s="28"/>
      <c r="I6" s="28">
        <v>1</v>
      </c>
      <c r="J6" s="28" t="s">
        <v>51</v>
      </c>
      <c r="K6" s="29">
        <v>0.85</v>
      </c>
      <c r="L6" s="28" t="s">
        <v>51</v>
      </c>
      <c r="M6" s="29">
        <v>0.05</v>
      </c>
      <c r="N6" s="28" t="s">
        <v>49</v>
      </c>
      <c r="O6" s="29">
        <v>1.261203E-2</v>
      </c>
      <c r="P6" s="28" t="s">
        <v>53</v>
      </c>
      <c r="Q6" s="29">
        <v>1.0089620000000001E-2</v>
      </c>
      <c r="R6" s="28"/>
      <c r="S6" s="29">
        <v>9.4590187500000005E-4</v>
      </c>
    </row>
    <row r="7" spans="1:19" x14ac:dyDescent="0.25">
      <c r="A7" s="28">
        <v>15</v>
      </c>
      <c r="B7" s="28" t="s">
        <v>227</v>
      </c>
      <c r="C7" s="28"/>
      <c r="D7" s="28"/>
      <c r="E7" s="29">
        <v>1.261203E-2</v>
      </c>
      <c r="F7" s="28"/>
      <c r="G7" s="30">
        <v>0.50448099999999996</v>
      </c>
      <c r="H7" s="28"/>
      <c r="I7" s="28">
        <v>1</v>
      </c>
      <c r="J7" s="28" t="s">
        <v>51</v>
      </c>
      <c r="K7" s="29">
        <v>0.85</v>
      </c>
      <c r="L7" s="28" t="s">
        <v>51</v>
      </c>
      <c r="M7" s="29">
        <v>0.05</v>
      </c>
      <c r="N7" s="28" t="s">
        <v>49</v>
      </c>
      <c r="O7" s="29">
        <v>1.261203E-2</v>
      </c>
      <c r="P7" s="28" t="s">
        <v>53</v>
      </c>
      <c r="Q7" s="29">
        <v>1.0089620000000001E-2</v>
      </c>
      <c r="R7" s="28"/>
      <c r="S7" s="29">
        <v>1.5765031250000001E-4</v>
      </c>
    </row>
    <row r="8" spans="1:19" x14ac:dyDescent="0.25">
      <c r="A8" s="28">
        <v>16</v>
      </c>
      <c r="B8" s="28" t="s">
        <v>238</v>
      </c>
      <c r="C8" s="28"/>
      <c r="D8" s="28"/>
      <c r="E8" s="29">
        <v>7.3570199999999997E-3</v>
      </c>
      <c r="F8" s="28"/>
      <c r="G8" s="30">
        <v>0.88284200000000002</v>
      </c>
      <c r="H8" s="28"/>
      <c r="I8" s="28">
        <v>1</v>
      </c>
      <c r="J8" s="28" t="s">
        <v>51</v>
      </c>
      <c r="K8" s="29">
        <v>0.85714285999999995</v>
      </c>
      <c r="L8" s="28" t="s">
        <v>51</v>
      </c>
      <c r="M8" s="29">
        <v>5.7142859999999997E-2</v>
      </c>
      <c r="N8" s="28" t="s">
        <v>49</v>
      </c>
      <c r="O8" s="29">
        <v>7.3570199999999997E-3</v>
      </c>
      <c r="P8" s="28" t="s">
        <v>53</v>
      </c>
      <c r="Q8" s="29">
        <v>5.8856200000000003E-3</v>
      </c>
      <c r="R8" s="28"/>
      <c r="S8" s="29">
        <v>2.758884375E-4</v>
      </c>
    </row>
    <row r="9" spans="1:19" x14ac:dyDescent="0.25">
      <c r="A9" s="28">
        <v>16</v>
      </c>
      <c r="B9" s="28" t="s">
        <v>60</v>
      </c>
      <c r="C9" s="28"/>
      <c r="D9" s="28"/>
      <c r="E9" s="29">
        <v>1.0510000000000001E-3</v>
      </c>
      <c r="F9" s="28"/>
      <c r="G9" s="30">
        <v>0.12612000000000001</v>
      </c>
      <c r="H9" s="28"/>
      <c r="I9" s="28">
        <v>1</v>
      </c>
      <c r="J9" s="28" t="s">
        <v>51</v>
      </c>
      <c r="K9" s="29">
        <v>0.85</v>
      </c>
      <c r="L9" s="28" t="s">
        <v>51</v>
      </c>
      <c r="M9" s="29">
        <v>0.05</v>
      </c>
      <c r="N9" s="28" t="s">
        <v>49</v>
      </c>
      <c r="O9" s="29">
        <v>1.0510000000000001E-3</v>
      </c>
      <c r="P9" s="28" t="s">
        <v>53</v>
      </c>
      <c r="Q9" s="29">
        <v>8.4079999999999995E-4</v>
      </c>
      <c r="R9" s="28"/>
      <c r="S9" s="29">
        <v>3.9412500000000003E-5</v>
      </c>
    </row>
    <row r="10" spans="1:19" x14ac:dyDescent="0.25">
      <c r="A10" s="28">
        <v>16</v>
      </c>
      <c r="B10" s="28" t="s">
        <v>228</v>
      </c>
      <c r="C10" s="28"/>
      <c r="D10" s="28"/>
      <c r="E10" s="29">
        <v>4.2040100000000002E-3</v>
      </c>
      <c r="F10" s="28"/>
      <c r="G10" s="30">
        <v>0.50448099999999996</v>
      </c>
      <c r="H10" s="28"/>
      <c r="I10" s="28">
        <v>1</v>
      </c>
      <c r="J10" s="28" t="s">
        <v>51</v>
      </c>
      <c r="K10" s="29">
        <v>0.85714285999999995</v>
      </c>
      <c r="L10" s="28" t="s">
        <v>51</v>
      </c>
      <c r="M10" s="29">
        <v>0.05</v>
      </c>
      <c r="N10" s="28" t="s">
        <v>49</v>
      </c>
      <c r="O10" s="29">
        <v>4.2040100000000002E-3</v>
      </c>
      <c r="P10" s="28" t="s">
        <v>53</v>
      </c>
      <c r="Q10" s="29">
        <v>3.3632100000000002E-3</v>
      </c>
      <c r="R10" s="28"/>
      <c r="S10" s="29">
        <v>1.5765046875000001E-4</v>
      </c>
    </row>
    <row r="11" spans="1:19" x14ac:dyDescent="0.25">
      <c r="A11" s="28">
        <v>17</v>
      </c>
      <c r="B11" s="28" t="s">
        <v>9</v>
      </c>
      <c r="C11" s="28"/>
      <c r="D11" s="28"/>
      <c r="E11" s="29">
        <v>1.261203E-2</v>
      </c>
      <c r="F11" s="28"/>
      <c r="G11" s="30">
        <v>3.0268869999999999</v>
      </c>
      <c r="H11" s="28"/>
      <c r="I11" s="28">
        <v>1</v>
      </c>
      <c r="J11" s="28" t="s">
        <v>51</v>
      </c>
      <c r="K11" s="29">
        <v>0.85</v>
      </c>
      <c r="L11" s="28" t="s">
        <v>51</v>
      </c>
      <c r="M11" s="29">
        <v>0.05</v>
      </c>
      <c r="N11" s="28" t="s">
        <v>49</v>
      </c>
      <c r="O11" s="29">
        <v>1.261203E-2</v>
      </c>
      <c r="P11" s="28" t="s">
        <v>53</v>
      </c>
      <c r="Q11" s="29">
        <v>1.0089620000000001E-2</v>
      </c>
      <c r="R11" s="28"/>
      <c r="S11" s="29">
        <v>9.4590187500000005E-4</v>
      </c>
    </row>
    <row r="12" spans="1:19" x14ac:dyDescent="0.25">
      <c r="A12" s="28">
        <v>18</v>
      </c>
      <c r="B12" s="28" t="s">
        <v>229</v>
      </c>
      <c r="C12" s="28"/>
      <c r="D12" s="28"/>
      <c r="E12" s="29">
        <v>1.261203E-2</v>
      </c>
      <c r="F12" s="28"/>
      <c r="G12" s="30">
        <v>4.0358499999999999</v>
      </c>
      <c r="H12" s="28"/>
      <c r="I12" s="28">
        <v>1</v>
      </c>
      <c r="J12" s="28" t="s">
        <v>51</v>
      </c>
      <c r="K12" s="29">
        <v>0.85</v>
      </c>
      <c r="L12" s="28" t="s">
        <v>51</v>
      </c>
      <c r="M12" s="29">
        <v>0.05</v>
      </c>
      <c r="N12" s="28" t="s">
        <v>49</v>
      </c>
      <c r="O12" s="29">
        <v>1.261203E-2</v>
      </c>
      <c r="P12" s="28" t="s">
        <v>53</v>
      </c>
      <c r="Q12" s="29">
        <v>1.0089620000000001E-2</v>
      </c>
      <c r="R12" s="28"/>
      <c r="S12" s="29">
        <v>1.2612025000000001E-3</v>
      </c>
    </row>
    <row r="13" spans="1:19" x14ac:dyDescent="0.25">
      <c r="A13" s="28">
        <v>19</v>
      </c>
      <c r="B13" s="28" t="s">
        <v>216</v>
      </c>
      <c r="C13" s="28"/>
      <c r="D13" s="28"/>
      <c r="E13" s="29">
        <v>1.261203E-2</v>
      </c>
      <c r="F13" s="28"/>
      <c r="G13" s="30">
        <v>2.017925</v>
      </c>
      <c r="H13" s="28"/>
      <c r="I13" s="28">
        <v>1</v>
      </c>
      <c r="J13" s="28" t="s">
        <v>51</v>
      </c>
      <c r="K13" s="29">
        <v>0.83333332999999998</v>
      </c>
      <c r="L13" s="28" t="s">
        <v>51</v>
      </c>
      <c r="M13" s="29">
        <v>3.3333330000000001E-2</v>
      </c>
      <c r="N13" s="28" t="s">
        <v>49</v>
      </c>
      <c r="O13" s="29">
        <v>1.261203E-2</v>
      </c>
      <c r="P13" s="28" t="s">
        <v>53</v>
      </c>
      <c r="Q13" s="29">
        <v>1.0089620000000001E-2</v>
      </c>
      <c r="R13" s="28"/>
      <c r="S13" s="29">
        <v>6.3060125000000003E-4</v>
      </c>
    </row>
    <row r="14" spans="1:19" x14ac:dyDescent="0.25">
      <c r="A14" s="18">
        <v>20</v>
      </c>
      <c r="B14" s="18" t="s">
        <v>230</v>
      </c>
      <c r="C14" s="18"/>
      <c r="D14" s="18"/>
      <c r="E14" s="19">
        <v>1.261203E-2</v>
      </c>
      <c r="F14" s="18"/>
      <c r="G14" s="20">
        <v>2.017925</v>
      </c>
      <c r="H14" s="18"/>
      <c r="I14" s="18">
        <v>1</v>
      </c>
      <c r="J14" s="18" t="s">
        <v>51</v>
      </c>
      <c r="K14" s="19">
        <v>0.85</v>
      </c>
      <c r="L14" s="18" t="s">
        <v>51</v>
      </c>
      <c r="M14" s="19">
        <v>0.05</v>
      </c>
      <c r="N14" s="18" t="s">
        <v>49</v>
      </c>
      <c r="O14" s="19">
        <v>1.261203E-2</v>
      </c>
      <c r="P14" s="18" t="s">
        <v>53</v>
      </c>
      <c r="Q14" s="19">
        <v>1.0089620000000001E-2</v>
      </c>
      <c r="R14" s="18"/>
      <c r="S14" s="19">
        <v>6.3060125000000003E-4</v>
      </c>
    </row>
    <row r="15" spans="1:19" x14ac:dyDescent="0.25">
      <c r="A15" s="21" t="s">
        <v>61</v>
      </c>
      <c r="B15" s="21"/>
      <c r="C15" s="21"/>
      <c r="D15" s="21"/>
      <c r="E15" s="21"/>
      <c r="F15" s="21"/>
      <c r="G15" s="22">
        <v>16.143398000000001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3">
        <v>5.04481046875E-3</v>
      </c>
    </row>
    <row r="17" spans="1:19" x14ac:dyDescent="0.25">
      <c r="A17" s="26" t="s">
        <v>57</v>
      </c>
      <c r="B17" s="44" t="s">
        <v>313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6"/>
    </row>
    <row r="18" spans="1:19" x14ac:dyDescent="0.25">
      <c r="A18" s="27" t="s">
        <v>214</v>
      </c>
      <c r="B18" s="41" t="s">
        <v>312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3"/>
    </row>
    <row r="20" spans="1:19" x14ac:dyDescent="0.25">
      <c r="A20" s="28">
        <v>14</v>
      </c>
      <c r="B20" s="28" t="s">
        <v>140</v>
      </c>
      <c r="C20" s="28"/>
      <c r="D20" s="28"/>
      <c r="E20" s="29">
        <v>1.863797E-2</v>
      </c>
      <c r="F20" s="28"/>
      <c r="G20" s="30">
        <v>4.4731129999999997</v>
      </c>
      <c r="H20" s="28"/>
      <c r="I20" s="28">
        <v>1</v>
      </c>
      <c r="J20" s="28" t="s">
        <v>51</v>
      </c>
      <c r="K20" s="29">
        <v>0.85</v>
      </c>
      <c r="L20" s="28" t="s">
        <v>51</v>
      </c>
      <c r="M20" s="29">
        <v>0.05</v>
      </c>
      <c r="N20" s="28" t="s">
        <v>49</v>
      </c>
      <c r="O20" s="29">
        <v>1.863797E-2</v>
      </c>
      <c r="P20" s="28" t="s">
        <v>53</v>
      </c>
      <c r="Q20" s="29">
        <v>1.4910380000000001E-2</v>
      </c>
      <c r="R20" s="28"/>
      <c r="S20" s="29">
        <v>1.3978481250000001E-3</v>
      </c>
    </row>
    <row r="21" spans="1:19" x14ac:dyDescent="0.25">
      <c r="A21" s="28">
        <v>15</v>
      </c>
      <c r="B21" s="28" t="s">
        <v>227</v>
      </c>
      <c r="C21" s="28"/>
      <c r="D21" s="28"/>
      <c r="E21" s="29">
        <v>1.863797E-2</v>
      </c>
      <c r="F21" s="28"/>
      <c r="G21" s="30">
        <v>0.74551900000000004</v>
      </c>
      <c r="H21" s="28"/>
      <c r="I21" s="28">
        <v>1</v>
      </c>
      <c r="J21" s="28" t="s">
        <v>51</v>
      </c>
      <c r="K21" s="29">
        <v>0.85</v>
      </c>
      <c r="L21" s="28" t="s">
        <v>51</v>
      </c>
      <c r="M21" s="29">
        <v>0.05</v>
      </c>
      <c r="N21" s="28" t="s">
        <v>49</v>
      </c>
      <c r="O21" s="29">
        <v>1.863797E-2</v>
      </c>
      <c r="P21" s="28" t="s">
        <v>53</v>
      </c>
      <c r="Q21" s="29">
        <v>1.4910380000000001E-2</v>
      </c>
      <c r="R21" s="28"/>
      <c r="S21" s="29">
        <v>2.3297468750000001E-4</v>
      </c>
    </row>
    <row r="22" spans="1:19" x14ac:dyDescent="0.25">
      <c r="A22" s="28">
        <v>16</v>
      </c>
      <c r="B22" s="28" t="s">
        <v>228</v>
      </c>
      <c r="C22" s="28"/>
      <c r="D22" s="28"/>
      <c r="E22" s="29">
        <v>6.2126500000000001E-3</v>
      </c>
      <c r="F22" s="28"/>
      <c r="G22" s="30">
        <v>0.74551900000000004</v>
      </c>
      <c r="H22" s="28"/>
      <c r="I22" s="28">
        <v>1</v>
      </c>
      <c r="J22" s="28" t="s">
        <v>51</v>
      </c>
      <c r="K22" s="29">
        <v>0.85714285999999995</v>
      </c>
      <c r="L22" s="28" t="s">
        <v>51</v>
      </c>
      <c r="M22" s="29">
        <v>0.05</v>
      </c>
      <c r="N22" s="28" t="s">
        <v>49</v>
      </c>
      <c r="O22" s="29">
        <v>6.2126500000000001E-3</v>
      </c>
      <c r="P22" s="28" t="s">
        <v>53</v>
      </c>
      <c r="Q22" s="29">
        <v>4.9701099999999998E-3</v>
      </c>
      <c r="R22" s="28"/>
      <c r="S22" s="29">
        <v>2.3297390624999999E-4</v>
      </c>
    </row>
    <row r="23" spans="1:19" x14ac:dyDescent="0.25">
      <c r="A23" s="28">
        <v>16</v>
      </c>
      <c r="B23" s="28" t="s">
        <v>60</v>
      </c>
      <c r="C23" s="28"/>
      <c r="D23" s="28"/>
      <c r="E23" s="29">
        <v>1.55316E-3</v>
      </c>
      <c r="F23" s="28"/>
      <c r="G23" s="30">
        <v>0.18637899999999999</v>
      </c>
      <c r="H23" s="28"/>
      <c r="I23" s="28">
        <v>1</v>
      </c>
      <c r="J23" s="28" t="s">
        <v>51</v>
      </c>
      <c r="K23" s="29">
        <v>0.85</v>
      </c>
      <c r="L23" s="28" t="s">
        <v>51</v>
      </c>
      <c r="M23" s="29">
        <v>0.05</v>
      </c>
      <c r="N23" s="28" t="s">
        <v>49</v>
      </c>
      <c r="O23" s="29">
        <v>1.55316E-3</v>
      </c>
      <c r="P23" s="28" t="s">
        <v>53</v>
      </c>
      <c r="Q23" s="29">
        <v>1.2425299999999999E-3</v>
      </c>
      <c r="R23" s="28"/>
      <c r="S23" s="29">
        <v>5.8243593749999997E-5</v>
      </c>
    </row>
    <row r="24" spans="1:19" x14ac:dyDescent="0.25">
      <c r="A24" s="28">
        <v>16</v>
      </c>
      <c r="B24" s="28" t="s">
        <v>238</v>
      </c>
      <c r="C24" s="28"/>
      <c r="D24" s="28"/>
      <c r="E24" s="29">
        <v>1.0872150000000001E-2</v>
      </c>
      <c r="F24" s="28"/>
      <c r="G24" s="30">
        <v>1.304659</v>
      </c>
      <c r="H24" s="28"/>
      <c r="I24" s="28">
        <v>1</v>
      </c>
      <c r="J24" s="28" t="s">
        <v>51</v>
      </c>
      <c r="K24" s="29">
        <v>0.85714285999999995</v>
      </c>
      <c r="L24" s="28" t="s">
        <v>51</v>
      </c>
      <c r="M24" s="29">
        <v>5.7142859999999997E-2</v>
      </c>
      <c r="N24" s="28" t="s">
        <v>49</v>
      </c>
      <c r="O24" s="29">
        <v>1.0872150000000001E-2</v>
      </c>
      <c r="P24" s="28" t="s">
        <v>53</v>
      </c>
      <c r="Q24" s="29">
        <v>8.6977100000000009E-3</v>
      </c>
      <c r="R24" s="28"/>
      <c r="S24" s="29">
        <v>4.0770515624999999E-4</v>
      </c>
    </row>
    <row r="25" spans="1:19" x14ac:dyDescent="0.25">
      <c r="A25" s="28">
        <v>17</v>
      </c>
      <c r="B25" s="28" t="s">
        <v>9</v>
      </c>
      <c r="C25" s="28"/>
      <c r="D25" s="28"/>
      <c r="E25" s="29">
        <v>1.863797E-2</v>
      </c>
      <c r="F25" s="28"/>
      <c r="G25" s="30">
        <v>4.4731129999999997</v>
      </c>
      <c r="H25" s="28"/>
      <c r="I25" s="28">
        <v>1</v>
      </c>
      <c r="J25" s="28" t="s">
        <v>51</v>
      </c>
      <c r="K25" s="29">
        <v>0.85</v>
      </c>
      <c r="L25" s="28" t="s">
        <v>51</v>
      </c>
      <c r="M25" s="29">
        <v>0.05</v>
      </c>
      <c r="N25" s="28" t="s">
        <v>49</v>
      </c>
      <c r="O25" s="29">
        <v>1.863797E-2</v>
      </c>
      <c r="P25" s="28" t="s">
        <v>53</v>
      </c>
      <c r="Q25" s="29">
        <v>1.4910380000000001E-2</v>
      </c>
      <c r="R25" s="28"/>
      <c r="S25" s="29">
        <v>1.3978481250000001E-3</v>
      </c>
    </row>
    <row r="26" spans="1:19" x14ac:dyDescent="0.25">
      <c r="A26" s="28">
        <v>18</v>
      </c>
      <c r="B26" s="28" t="s">
        <v>229</v>
      </c>
      <c r="C26" s="28"/>
      <c r="D26" s="28"/>
      <c r="E26" s="29">
        <v>1.863797E-2</v>
      </c>
      <c r="F26" s="28"/>
      <c r="G26" s="30">
        <v>5.9641500000000001</v>
      </c>
      <c r="H26" s="28"/>
      <c r="I26" s="28">
        <v>1</v>
      </c>
      <c r="J26" s="28" t="s">
        <v>51</v>
      </c>
      <c r="K26" s="29">
        <v>0.85</v>
      </c>
      <c r="L26" s="28" t="s">
        <v>51</v>
      </c>
      <c r="M26" s="29">
        <v>0.05</v>
      </c>
      <c r="N26" s="28" t="s">
        <v>49</v>
      </c>
      <c r="O26" s="29">
        <v>1.863797E-2</v>
      </c>
      <c r="P26" s="28" t="s">
        <v>53</v>
      </c>
      <c r="Q26" s="29">
        <v>1.4910380000000001E-2</v>
      </c>
      <c r="R26" s="28"/>
      <c r="S26" s="29">
        <v>1.8637975000000001E-3</v>
      </c>
    </row>
    <row r="27" spans="1:19" x14ac:dyDescent="0.25">
      <c r="A27" s="28">
        <v>19</v>
      </c>
      <c r="B27" s="28" t="s">
        <v>216</v>
      </c>
      <c r="C27" s="28"/>
      <c r="D27" s="28"/>
      <c r="E27" s="29">
        <v>1.863797E-2</v>
      </c>
      <c r="F27" s="28"/>
      <c r="G27" s="30">
        <v>2.982075</v>
      </c>
      <c r="H27" s="28"/>
      <c r="I27" s="28">
        <v>1</v>
      </c>
      <c r="J27" s="28" t="s">
        <v>51</v>
      </c>
      <c r="K27" s="29">
        <v>0.83333332999999998</v>
      </c>
      <c r="L27" s="28" t="s">
        <v>51</v>
      </c>
      <c r="M27" s="29">
        <v>3.3333330000000001E-2</v>
      </c>
      <c r="N27" s="28" t="s">
        <v>49</v>
      </c>
      <c r="O27" s="29">
        <v>1.863797E-2</v>
      </c>
      <c r="P27" s="28" t="s">
        <v>53</v>
      </c>
      <c r="Q27" s="29">
        <v>1.4910380000000001E-2</v>
      </c>
      <c r="R27" s="28"/>
      <c r="S27" s="29">
        <v>9.3189875000000005E-4</v>
      </c>
    </row>
    <row r="28" spans="1:19" x14ac:dyDescent="0.25">
      <c r="A28" s="18">
        <v>20</v>
      </c>
      <c r="B28" s="18" t="s">
        <v>230</v>
      </c>
      <c r="C28" s="18"/>
      <c r="D28" s="18"/>
      <c r="E28" s="19">
        <v>1.863797E-2</v>
      </c>
      <c r="F28" s="18"/>
      <c r="G28" s="20">
        <v>2.982075</v>
      </c>
      <c r="H28" s="18"/>
      <c r="I28" s="18">
        <v>1</v>
      </c>
      <c r="J28" s="18" t="s">
        <v>51</v>
      </c>
      <c r="K28" s="19">
        <v>0.85</v>
      </c>
      <c r="L28" s="18" t="s">
        <v>51</v>
      </c>
      <c r="M28" s="19">
        <v>0.05</v>
      </c>
      <c r="N28" s="18" t="s">
        <v>49</v>
      </c>
      <c r="O28" s="19">
        <v>1.863797E-2</v>
      </c>
      <c r="P28" s="18" t="s">
        <v>53</v>
      </c>
      <c r="Q28" s="19">
        <v>1.4910380000000001E-2</v>
      </c>
      <c r="R28" s="18"/>
      <c r="S28" s="19">
        <v>9.3189875000000005E-4</v>
      </c>
    </row>
    <row r="29" spans="1:19" x14ac:dyDescent="0.25">
      <c r="A29" s="21" t="s">
        <v>61</v>
      </c>
      <c r="B29" s="21"/>
      <c r="C29" s="21"/>
      <c r="D29" s="21"/>
      <c r="E29" s="21"/>
      <c r="F29" s="21"/>
      <c r="G29" s="22">
        <v>23.856601999999999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3">
        <v>7.4551885937500003E-3</v>
      </c>
    </row>
    <row r="31" spans="1:19" x14ac:dyDescent="0.25">
      <c r="A31" s="26" t="s">
        <v>57</v>
      </c>
      <c r="B31" s="44" t="s">
        <v>314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6"/>
    </row>
    <row r="32" spans="1:19" x14ac:dyDescent="0.25">
      <c r="A32" s="27" t="s">
        <v>214</v>
      </c>
      <c r="B32" s="41" t="s">
        <v>315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3"/>
    </row>
    <row r="34" spans="1:19" x14ac:dyDescent="0.25">
      <c r="A34" s="28">
        <v>1</v>
      </c>
      <c r="B34" s="28" t="s">
        <v>126</v>
      </c>
      <c r="C34" s="28"/>
      <c r="D34" s="28"/>
      <c r="E34" s="29">
        <v>2.7956999999999999E-3</v>
      </c>
      <c r="F34" s="28"/>
      <c r="G34" s="30">
        <v>3.774E-3</v>
      </c>
      <c r="H34" s="28"/>
      <c r="I34" s="28">
        <v>1</v>
      </c>
      <c r="J34" s="28" t="s">
        <v>51</v>
      </c>
      <c r="K34" s="29">
        <v>0.83333332999999998</v>
      </c>
      <c r="L34" s="28" t="s">
        <v>51</v>
      </c>
      <c r="M34" s="29">
        <v>3.3333330000000001E-2</v>
      </c>
      <c r="N34" s="28" t="s">
        <v>49</v>
      </c>
      <c r="O34" s="29">
        <v>2.7956999999999999E-3</v>
      </c>
      <c r="P34" s="28" t="s">
        <v>53</v>
      </c>
      <c r="Q34" s="29">
        <v>2.2365599999999999E-3</v>
      </c>
      <c r="R34" s="28"/>
      <c r="S34" s="29">
        <v>1.1794359375000001E-6</v>
      </c>
    </row>
    <row r="35" spans="1:19" x14ac:dyDescent="0.25">
      <c r="A35" s="28">
        <v>1</v>
      </c>
      <c r="B35" s="28" t="s">
        <v>126</v>
      </c>
      <c r="C35" s="28"/>
      <c r="D35" s="28"/>
      <c r="E35" s="29">
        <v>1.8917999999999999E-3</v>
      </c>
      <c r="F35" s="28"/>
      <c r="G35" s="30">
        <v>2.5539999999999998E-3</v>
      </c>
      <c r="H35" s="28"/>
      <c r="I35" s="28">
        <v>1</v>
      </c>
      <c r="J35" s="28" t="s">
        <v>51</v>
      </c>
      <c r="K35" s="29">
        <v>0.83333332999999998</v>
      </c>
      <c r="L35" s="28" t="s">
        <v>51</v>
      </c>
      <c r="M35" s="29">
        <v>3.3333330000000001E-2</v>
      </c>
      <c r="N35" s="28" t="s">
        <v>49</v>
      </c>
      <c r="O35" s="29">
        <v>1.8917999999999999E-3</v>
      </c>
      <c r="P35" s="28" t="s">
        <v>53</v>
      </c>
      <c r="Q35" s="29">
        <v>1.51344E-3</v>
      </c>
      <c r="R35" s="28"/>
      <c r="S35" s="29">
        <v>7.9810312500000004E-7</v>
      </c>
    </row>
    <row r="36" spans="1:19" x14ac:dyDescent="0.25">
      <c r="A36" s="28">
        <v>1</v>
      </c>
      <c r="B36" s="28" t="s">
        <v>126</v>
      </c>
      <c r="C36" s="28"/>
      <c r="D36" s="28"/>
      <c r="E36" s="29">
        <v>5.3118220000000001E-2</v>
      </c>
      <c r="F36" s="28"/>
      <c r="G36" s="30">
        <v>7.1709999999999996E-2</v>
      </c>
      <c r="H36" s="28"/>
      <c r="I36" s="28">
        <v>1</v>
      </c>
      <c r="J36" s="28" t="s">
        <v>51</v>
      </c>
      <c r="K36" s="29">
        <v>0.83333332999999998</v>
      </c>
      <c r="L36" s="28" t="s">
        <v>51</v>
      </c>
      <c r="M36" s="29">
        <v>3.3333330000000001E-2</v>
      </c>
      <c r="N36" s="28" t="s">
        <v>49</v>
      </c>
      <c r="O36" s="29">
        <v>5.3118220000000001E-2</v>
      </c>
      <c r="P36" s="28" t="s">
        <v>53</v>
      </c>
      <c r="Q36" s="29">
        <v>4.2494579999999997E-2</v>
      </c>
      <c r="R36" s="28"/>
      <c r="S36" s="29">
        <v>2.2409251171875001E-5</v>
      </c>
    </row>
    <row r="37" spans="1:19" x14ac:dyDescent="0.25">
      <c r="A37" s="28">
        <v>1</v>
      </c>
      <c r="B37" s="28" t="s">
        <v>126</v>
      </c>
      <c r="C37" s="28"/>
      <c r="D37" s="28"/>
      <c r="E37" s="29">
        <v>3.5944280000000002E-2</v>
      </c>
      <c r="F37" s="28"/>
      <c r="G37" s="30">
        <v>4.8524999999999999E-2</v>
      </c>
      <c r="H37" s="28"/>
      <c r="I37" s="28">
        <v>1</v>
      </c>
      <c r="J37" s="28" t="s">
        <v>51</v>
      </c>
      <c r="K37" s="29">
        <v>0.83333332999999998</v>
      </c>
      <c r="L37" s="28" t="s">
        <v>51</v>
      </c>
      <c r="M37" s="29">
        <v>3.3333330000000001E-2</v>
      </c>
      <c r="N37" s="28" t="s">
        <v>49</v>
      </c>
      <c r="O37" s="29">
        <v>3.5944280000000002E-2</v>
      </c>
      <c r="P37" s="28" t="s">
        <v>53</v>
      </c>
      <c r="Q37" s="29">
        <v>2.875542E-2</v>
      </c>
      <c r="R37" s="28"/>
      <c r="S37" s="29">
        <v>1.5163991015624999E-5</v>
      </c>
    </row>
    <row r="38" spans="1:19" x14ac:dyDescent="0.25">
      <c r="A38" s="28">
        <v>2</v>
      </c>
      <c r="B38" s="28" t="s">
        <v>226</v>
      </c>
      <c r="C38" s="28"/>
      <c r="D38" s="28"/>
      <c r="E38" s="29">
        <v>1.887074E-2</v>
      </c>
      <c r="F38" s="28"/>
      <c r="G38" s="30">
        <v>6.0131610000000002</v>
      </c>
      <c r="H38" s="28"/>
      <c r="I38" s="28">
        <v>1</v>
      </c>
      <c r="J38" s="28" t="s">
        <v>51</v>
      </c>
      <c r="K38" s="29">
        <v>0.83333332999999998</v>
      </c>
      <c r="L38" s="28" t="s">
        <v>51</v>
      </c>
      <c r="M38" s="29">
        <v>3.3333330000000001E-2</v>
      </c>
      <c r="N38" s="28" t="s">
        <v>49</v>
      </c>
      <c r="O38" s="29">
        <v>1.887074E-2</v>
      </c>
      <c r="P38" s="28" t="s">
        <v>53</v>
      </c>
      <c r="Q38" s="29">
        <v>1.509659E-2</v>
      </c>
      <c r="R38" s="28"/>
      <c r="S38" s="29">
        <v>1.8791126576171871E-3</v>
      </c>
    </row>
    <row r="39" spans="1:19" x14ac:dyDescent="0.25">
      <c r="A39" s="28">
        <v>2</v>
      </c>
      <c r="B39" s="28" t="s">
        <v>226</v>
      </c>
      <c r="C39" s="28"/>
      <c r="D39" s="28"/>
      <c r="E39" s="29">
        <v>2.7887060000000002E-2</v>
      </c>
      <c r="F39" s="28"/>
      <c r="G39" s="30">
        <v>8.8862120000000004</v>
      </c>
      <c r="H39" s="28"/>
      <c r="I39" s="28">
        <v>1</v>
      </c>
      <c r="J39" s="28" t="s">
        <v>51</v>
      </c>
      <c r="K39" s="29">
        <v>0.83333332999999998</v>
      </c>
      <c r="L39" s="28" t="s">
        <v>51</v>
      </c>
      <c r="M39" s="29">
        <v>3.3333330000000001E-2</v>
      </c>
      <c r="N39" s="28" t="s">
        <v>49</v>
      </c>
      <c r="O39" s="29">
        <v>2.7887060000000002E-2</v>
      </c>
      <c r="P39" s="28" t="s">
        <v>53</v>
      </c>
      <c r="Q39" s="29">
        <v>2.230965E-2</v>
      </c>
      <c r="R39" s="28"/>
      <c r="S39" s="29">
        <v>2.776941395507812E-3</v>
      </c>
    </row>
    <row r="40" spans="1:19" x14ac:dyDescent="0.25">
      <c r="A40" s="28">
        <v>2</v>
      </c>
      <c r="B40" s="28" t="s">
        <v>29</v>
      </c>
      <c r="C40" s="28"/>
      <c r="D40" s="28"/>
      <c r="E40" s="29">
        <v>5.3118200000000001E-3</v>
      </c>
      <c r="F40" s="28"/>
      <c r="G40" s="30">
        <v>1.6926110000000001</v>
      </c>
      <c r="H40" s="28"/>
      <c r="I40" s="28">
        <v>1</v>
      </c>
      <c r="J40" s="28" t="s">
        <v>51</v>
      </c>
      <c r="K40" s="29">
        <v>0.85</v>
      </c>
      <c r="L40" s="28" t="s">
        <v>51</v>
      </c>
      <c r="M40" s="29">
        <v>0.05</v>
      </c>
      <c r="N40" s="28" t="s">
        <v>49</v>
      </c>
      <c r="O40" s="29">
        <v>5.3118200000000001E-3</v>
      </c>
      <c r="P40" s="28" t="s">
        <v>53</v>
      </c>
      <c r="Q40" s="29">
        <v>4.24946E-3</v>
      </c>
      <c r="R40" s="28"/>
      <c r="S40" s="29">
        <v>5.2894157382812499E-4</v>
      </c>
    </row>
    <row r="41" spans="1:19" x14ac:dyDescent="0.25">
      <c r="A41" s="28">
        <v>2</v>
      </c>
      <c r="B41" s="28" t="s">
        <v>29</v>
      </c>
      <c r="C41" s="28"/>
      <c r="D41" s="28"/>
      <c r="E41" s="29">
        <v>3.59443E-3</v>
      </c>
      <c r="F41" s="28"/>
      <c r="G41" s="30">
        <v>1.145365</v>
      </c>
      <c r="H41" s="28"/>
      <c r="I41" s="28">
        <v>1</v>
      </c>
      <c r="J41" s="28" t="s">
        <v>51</v>
      </c>
      <c r="K41" s="29">
        <v>0.85</v>
      </c>
      <c r="L41" s="28" t="s">
        <v>51</v>
      </c>
      <c r="M41" s="29">
        <v>0.05</v>
      </c>
      <c r="N41" s="28" t="s">
        <v>49</v>
      </c>
      <c r="O41" s="29">
        <v>3.59443E-3</v>
      </c>
      <c r="P41" s="28" t="s">
        <v>53</v>
      </c>
      <c r="Q41" s="29">
        <v>2.8755400000000002E-3</v>
      </c>
      <c r="R41" s="28"/>
      <c r="S41" s="29">
        <v>3.5792610195312498E-4</v>
      </c>
    </row>
    <row r="42" spans="1:19" x14ac:dyDescent="0.25">
      <c r="A42" s="28">
        <v>2</v>
      </c>
      <c r="B42" s="28" t="s">
        <v>226</v>
      </c>
      <c r="C42" s="28"/>
      <c r="D42" s="28"/>
      <c r="E42" s="29">
        <v>9.9320000000000007E-4</v>
      </c>
      <c r="F42" s="28"/>
      <c r="G42" s="30">
        <v>0.31648300000000001</v>
      </c>
      <c r="H42" s="28"/>
      <c r="I42" s="28">
        <v>1</v>
      </c>
      <c r="J42" s="28" t="s">
        <v>51</v>
      </c>
      <c r="K42" s="29">
        <v>0.83333332999999998</v>
      </c>
      <c r="L42" s="28" t="s">
        <v>51</v>
      </c>
      <c r="M42" s="29">
        <v>3.3333330000000001E-2</v>
      </c>
      <c r="N42" s="28" t="s">
        <v>49</v>
      </c>
      <c r="O42" s="29">
        <v>9.9320000000000007E-4</v>
      </c>
      <c r="P42" s="28" t="s">
        <v>53</v>
      </c>
      <c r="Q42" s="29">
        <v>7.9456000000000004E-4</v>
      </c>
      <c r="R42" s="28"/>
      <c r="S42" s="29">
        <v>9.8900993750000005E-5</v>
      </c>
    </row>
    <row r="43" spans="1:19" x14ac:dyDescent="0.25">
      <c r="A43" s="28">
        <v>2</v>
      </c>
      <c r="B43" s="28" t="s">
        <v>226</v>
      </c>
      <c r="C43" s="28"/>
      <c r="D43" s="28"/>
      <c r="E43" s="29">
        <v>1.4677399999999999E-3</v>
      </c>
      <c r="F43" s="28"/>
      <c r="G43" s="30">
        <v>0.46769500000000003</v>
      </c>
      <c r="H43" s="28"/>
      <c r="I43" s="28">
        <v>1</v>
      </c>
      <c r="J43" s="28" t="s">
        <v>51</v>
      </c>
      <c r="K43" s="29">
        <v>0.83333332999999998</v>
      </c>
      <c r="L43" s="28" t="s">
        <v>51</v>
      </c>
      <c r="M43" s="29">
        <v>3.3333330000000001E-2</v>
      </c>
      <c r="N43" s="28" t="s">
        <v>49</v>
      </c>
      <c r="O43" s="29">
        <v>1.4677399999999999E-3</v>
      </c>
      <c r="P43" s="28" t="s">
        <v>53</v>
      </c>
      <c r="Q43" s="29">
        <v>1.1741900000000001E-3</v>
      </c>
      <c r="R43" s="28"/>
      <c r="S43" s="29">
        <v>1.461545482421875E-4</v>
      </c>
    </row>
    <row r="44" spans="1:19" x14ac:dyDescent="0.25">
      <c r="A44" s="28">
        <v>2</v>
      </c>
      <c r="B44" s="28" t="s">
        <v>29</v>
      </c>
      <c r="C44" s="28"/>
      <c r="D44" s="28"/>
      <c r="E44" s="29">
        <v>2.7956999999999998E-4</v>
      </c>
      <c r="F44" s="28"/>
      <c r="G44" s="30">
        <v>8.9084999999999998E-2</v>
      </c>
      <c r="H44" s="28"/>
      <c r="I44" s="28">
        <v>1</v>
      </c>
      <c r="J44" s="28" t="s">
        <v>51</v>
      </c>
      <c r="K44" s="29">
        <v>0.85</v>
      </c>
      <c r="L44" s="28" t="s">
        <v>51</v>
      </c>
      <c r="M44" s="29">
        <v>0.05</v>
      </c>
      <c r="N44" s="28" t="s">
        <v>49</v>
      </c>
      <c r="O44" s="29">
        <v>2.7956999999999998E-4</v>
      </c>
      <c r="P44" s="28" t="s">
        <v>53</v>
      </c>
      <c r="Q44" s="29">
        <v>2.2366000000000001E-4</v>
      </c>
      <c r="R44" s="28"/>
      <c r="S44" s="29">
        <v>2.7839554296875E-5</v>
      </c>
    </row>
    <row r="45" spans="1:19" x14ac:dyDescent="0.25">
      <c r="A45" s="28">
        <v>2</v>
      </c>
      <c r="B45" s="28" t="s">
        <v>29</v>
      </c>
      <c r="C45" s="28"/>
      <c r="D45" s="28"/>
      <c r="E45" s="29">
        <v>1.8918E-4</v>
      </c>
      <c r="F45" s="28"/>
      <c r="G45" s="30">
        <v>6.0282000000000002E-2</v>
      </c>
      <c r="H45" s="28"/>
      <c r="I45" s="28">
        <v>1</v>
      </c>
      <c r="J45" s="28" t="s">
        <v>51</v>
      </c>
      <c r="K45" s="29">
        <v>0.85</v>
      </c>
      <c r="L45" s="28" t="s">
        <v>51</v>
      </c>
      <c r="M45" s="29">
        <v>0.05</v>
      </c>
      <c r="N45" s="28" t="s">
        <v>49</v>
      </c>
      <c r="O45" s="29">
        <v>1.8918E-4</v>
      </c>
      <c r="P45" s="28" t="s">
        <v>53</v>
      </c>
      <c r="Q45" s="29">
        <v>1.5134E-4</v>
      </c>
      <c r="R45" s="28"/>
      <c r="S45" s="29">
        <v>1.8837691796875E-5</v>
      </c>
    </row>
    <row r="46" spans="1:19" x14ac:dyDescent="0.25">
      <c r="A46" s="28">
        <v>3</v>
      </c>
      <c r="B46" s="28" t="s">
        <v>316</v>
      </c>
      <c r="C46" s="28"/>
      <c r="D46" s="28"/>
      <c r="E46" s="29">
        <v>1.4188499999999999E-3</v>
      </c>
      <c r="F46" s="28"/>
      <c r="G46" s="30">
        <v>0.34052399999999999</v>
      </c>
      <c r="H46" s="28"/>
      <c r="I46" s="28">
        <v>1</v>
      </c>
      <c r="J46" s="28" t="s">
        <v>51</v>
      </c>
      <c r="K46" s="29">
        <v>0.85</v>
      </c>
      <c r="L46" s="28" t="s">
        <v>51</v>
      </c>
      <c r="M46" s="29">
        <v>3.3333330000000001E-2</v>
      </c>
      <c r="N46" s="28" t="s">
        <v>49</v>
      </c>
      <c r="O46" s="29">
        <v>1.4188499999999999E-3</v>
      </c>
      <c r="P46" s="28" t="s">
        <v>53</v>
      </c>
      <c r="Q46" s="29">
        <v>1.1350799999999999E-3</v>
      </c>
      <c r="R46" s="28"/>
      <c r="S46" s="29">
        <v>1.0641375E-4</v>
      </c>
    </row>
    <row r="47" spans="1:19" x14ac:dyDescent="0.25">
      <c r="A47" s="28">
        <v>3</v>
      </c>
      <c r="B47" s="28" t="s">
        <v>316</v>
      </c>
      <c r="C47" s="28"/>
      <c r="D47" s="28"/>
      <c r="E47" s="29">
        <v>2.09677E-3</v>
      </c>
      <c r="F47" s="28"/>
      <c r="G47" s="30">
        <v>0.50322500000000003</v>
      </c>
      <c r="H47" s="28"/>
      <c r="I47" s="28">
        <v>1</v>
      </c>
      <c r="J47" s="28" t="s">
        <v>51</v>
      </c>
      <c r="K47" s="29">
        <v>0.85</v>
      </c>
      <c r="L47" s="28" t="s">
        <v>51</v>
      </c>
      <c r="M47" s="29">
        <v>3.3333330000000001E-2</v>
      </c>
      <c r="N47" s="28" t="s">
        <v>49</v>
      </c>
      <c r="O47" s="29">
        <v>2.09677E-3</v>
      </c>
      <c r="P47" s="28" t="s">
        <v>53</v>
      </c>
      <c r="Q47" s="29">
        <v>1.67742E-3</v>
      </c>
      <c r="R47" s="28"/>
      <c r="S47" s="29">
        <v>1.5725812500000001E-4</v>
      </c>
    </row>
    <row r="48" spans="1:19" x14ac:dyDescent="0.25">
      <c r="A48" s="28">
        <v>3</v>
      </c>
      <c r="B48" s="28" t="s">
        <v>316</v>
      </c>
      <c r="C48" s="28"/>
      <c r="D48" s="28"/>
      <c r="E48" s="29">
        <v>2.695821E-2</v>
      </c>
      <c r="F48" s="28"/>
      <c r="G48" s="30">
        <v>6.46997</v>
      </c>
      <c r="H48" s="28"/>
      <c r="I48" s="28">
        <v>1</v>
      </c>
      <c r="J48" s="28" t="s">
        <v>51</v>
      </c>
      <c r="K48" s="29">
        <v>0.85</v>
      </c>
      <c r="L48" s="28" t="s">
        <v>51</v>
      </c>
      <c r="M48" s="29">
        <v>3.3333330000000001E-2</v>
      </c>
      <c r="N48" s="28" t="s">
        <v>49</v>
      </c>
      <c r="O48" s="29">
        <v>2.695821E-2</v>
      </c>
      <c r="P48" s="28" t="s">
        <v>53</v>
      </c>
      <c r="Q48" s="29">
        <v>2.156657E-2</v>
      </c>
      <c r="R48" s="28"/>
      <c r="S48" s="29">
        <v>2.0218659374999998E-3</v>
      </c>
    </row>
    <row r="49" spans="1:19" x14ac:dyDescent="0.25">
      <c r="A49" s="28">
        <v>3</v>
      </c>
      <c r="B49" s="28" t="s">
        <v>174</v>
      </c>
      <c r="C49" s="28" t="s">
        <v>317</v>
      </c>
      <c r="D49" s="28"/>
      <c r="E49" s="29">
        <v>6.6397799999999996E-3</v>
      </c>
      <c r="F49" s="28"/>
      <c r="G49" s="30">
        <v>1.593547</v>
      </c>
      <c r="H49" s="28"/>
      <c r="I49" s="28">
        <v>1</v>
      </c>
      <c r="J49" s="28" t="s">
        <v>51</v>
      </c>
      <c r="K49" s="29">
        <v>0.85</v>
      </c>
      <c r="L49" s="28" t="s">
        <v>51</v>
      </c>
      <c r="M49" s="29">
        <v>0.05</v>
      </c>
      <c r="N49" s="28" t="s">
        <v>49</v>
      </c>
      <c r="O49" s="29">
        <v>6.6397799999999996E-3</v>
      </c>
      <c r="P49" s="28" t="s">
        <v>53</v>
      </c>
      <c r="Q49" s="29">
        <v>5.3118200000000001E-3</v>
      </c>
      <c r="R49" s="28"/>
      <c r="S49" s="29">
        <v>4.9798312499999995E-4</v>
      </c>
    </row>
    <row r="50" spans="1:19" x14ac:dyDescent="0.25">
      <c r="A50" s="28">
        <v>3</v>
      </c>
      <c r="B50" s="28" t="s">
        <v>174</v>
      </c>
      <c r="C50" s="28" t="s">
        <v>317</v>
      </c>
      <c r="D50" s="28"/>
      <c r="E50" s="29">
        <v>4.4930300000000003E-3</v>
      </c>
      <c r="F50" s="28"/>
      <c r="G50" s="30">
        <v>1.078328</v>
      </c>
      <c r="H50" s="28"/>
      <c r="I50" s="28">
        <v>1</v>
      </c>
      <c r="J50" s="28" t="s">
        <v>51</v>
      </c>
      <c r="K50" s="29">
        <v>0.85</v>
      </c>
      <c r="L50" s="28" t="s">
        <v>51</v>
      </c>
      <c r="M50" s="29">
        <v>0.05</v>
      </c>
      <c r="N50" s="28" t="s">
        <v>49</v>
      </c>
      <c r="O50" s="29">
        <v>4.4930300000000003E-3</v>
      </c>
      <c r="P50" s="28" t="s">
        <v>53</v>
      </c>
      <c r="Q50" s="29">
        <v>3.59443E-3</v>
      </c>
      <c r="R50" s="28"/>
      <c r="S50" s="29">
        <v>3.3697781249999997E-4</v>
      </c>
    </row>
    <row r="51" spans="1:19" x14ac:dyDescent="0.25">
      <c r="A51" s="28">
        <v>3</v>
      </c>
      <c r="B51" s="28" t="s">
        <v>316</v>
      </c>
      <c r="C51" s="28"/>
      <c r="D51" s="28"/>
      <c r="E51" s="29">
        <v>3.9838650000000003E-2</v>
      </c>
      <c r="F51" s="28"/>
      <c r="G51" s="30">
        <v>9.5612770000000005</v>
      </c>
      <c r="H51" s="28"/>
      <c r="I51" s="28">
        <v>1</v>
      </c>
      <c r="J51" s="28" t="s">
        <v>51</v>
      </c>
      <c r="K51" s="29">
        <v>0.85</v>
      </c>
      <c r="L51" s="28" t="s">
        <v>51</v>
      </c>
      <c r="M51" s="29">
        <v>3.3333330000000001E-2</v>
      </c>
      <c r="N51" s="28" t="s">
        <v>49</v>
      </c>
      <c r="O51" s="29">
        <v>3.9838650000000003E-2</v>
      </c>
      <c r="P51" s="28" t="s">
        <v>53</v>
      </c>
      <c r="Q51" s="29">
        <v>3.1870929999999999E-2</v>
      </c>
      <c r="R51" s="28"/>
      <c r="S51" s="29">
        <v>2.9878996875000001E-3</v>
      </c>
    </row>
    <row r="52" spans="1:19" x14ac:dyDescent="0.25">
      <c r="A52" s="28">
        <v>3</v>
      </c>
      <c r="B52" s="28" t="s">
        <v>207</v>
      </c>
      <c r="C52" s="28" t="s">
        <v>318</v>
      </c>
      <c r="D52" s="28"/>
      <c r="E52" s="29">
        <v>4.4930400000000002E-3</v>
      </c>
      <c r="F52" s="28"/>
      <c r="G52" s="30">
        <v>1.07833</v>
      </c>
      <c r="H52" s="28"/>
      <c r="I52" s="28">
        <v>1</v>
      </c>
      <c r="J52" s="28" t="s">
        <v>51</v>
      </c>
      <c r="K52" s="29">
        <v>0.85</v>
      </c>
      <c r="L52" s="28" t="s">
        <v>51</v>
      </c>
      <c r="M52" s="29">
        <v>0.05</v>
      </c>
      <c r="N52" s="28" t="s">
        <v>49</v>
      </c>
      <c r="O52" s="29">
        <v>4.4930400000000002E-3</v>
      </c>
      <c r="P52" s="28" t="s">
        <v>53</v>
      </c>
      <c r="Q52" s="29">
        <v>3.59443E-3</v>
      </c>
      <c r="R52" s="28"/>
      <c r="S52" s="29">
        <v>3.3697781249999997E-4</v>
      </c>
    </row>
    <row r="53" spans="1:19" x14ac:dyDescent="0.25">
      <c r="A53" s="28">
        <v>3</v>
      </c>
      <c r="B53" s="28" t="s">
        <v>207</v>
      </c>
      <c r="C53" s="28" t="s">
        <v>318</v>
      </c>
      <c r="D53" s="28"/>
      <c r="E53" s="29">
        <v>6.6397799999999996E-3</v>
      </c>
      <c r="F53" s="28"/>
      <c r="G53" s="30">
        <v>1.593547</v>
      </c>
      <c r="H53" s="28"/>
      <c r="I53" s="28">
        <v>1</v>
      </c>
      <c r="J53" s="28" t="s">
        <v>51</v>
      </c>
      <c r="K53" s="29">
        <v>0.85</v>
      </c>
      <c r="L53" s="28" t="s">
        <v>51</v>
      </c>
      <c r="M53" s="29">
        <v>0.05</v>
      </c>
      <c r="N53" s="28" t="s">
        <v>49</v>
      </c>
      <c r="O53" s="29">
        <v>6.6397799999999996E-3</v>
      </c>
      <c r="P53" s="28" t="s">
        <v>53</v>
      </c>
      <c r="Q53" s="29">
        <v>5.3118200000000001E-3</v>
      </c>
      <c r="R53" s="28"/>
      <c r="S53" s="29">
        <v>4.9798312499999995E-4</v>
      </c>
    </row>
    <row r="54" spans="1:19" x14ac:dyDescent="0.25">
      <c r="A54" s="28">
        <v>4</v>
      </c>
      <c r="B54" s="28" t="s">
        <v>199</v>
      </c>
      <c r="C54" s="28"/>
      <c r="D54" s="28"/>
      <c r="E54" s="29">
        <v>5.3118220000000001E-2</v>
      </c>
      <c r="F54" s="28"/>
      <c r="G54" s="30">
        <v>4.2494579999999997</v>
      </c>
      <c r="H54" s="28"/>
      <c r="I54" s="28">
        <v>1</v>
      </c>
      <c r="J54" s="28" t="s">
        <v>51</v>
      </c>
      <c r="K54" s="29">
        <v>0.83333332999999998</v>
      </c>
      <c r="L54" s="28" t="s">
        <v>51</v>
      </c>
      <c r="M54" s="29">
        <v>3.3333330000000001E-2</v>
      </c>
      <c r="N54" s="28" t="s">
        <v>49</v>
      </c>
      <c r="O54" s="29">
        <v>5.3118220000000001E-2</v>
      </c>
      <c r="P54" s="28" t="s">
        <v>53</v>
      </c>
      <c r="Q54" s="29">
        <v>4.2494579999999997E-2</v>
      </c>
      <c r="R54" s="28"/>
      <c r="S54" s="29">
        <v>1.3279556249999999E-3</v>
      </c>
    </row>
    <row r="55" spans="1:19" x14ac:dyDescent="0.25">
      <c r="A55" s="28">
        <v>4</v>
      </c>
      <c r="B55" s="28" t="s">
        <v>199</v>
      </c>
      <c r="C55" s="28"/>
      <c r="D55" s="28"/>
      <c r="E55" s="29">
        <v>3.5944280000000002E-2</v>
      </c>
      <c r="F55" s="28"/>
      <c r="G55" s="30">
        <v>2.8755419999999998</v>
      </c>
      <c r="H55" s="28"/>
      <c r="I55" s="28">
        <v>1</v>
      </c>
      <c r="J55" s="28" t="s">
        <v>51</v>
      </c>
      <c r="K55" s="29">
        <v>0.83333332999999998</v>
      </c>
      <c r="L55" s="28" t="s">
        <v>51</v>
      </c>
      <c r="M55" s="29">
        <v>3.3333330000000001E-2</v>
      </c>
      <c r="N55" s="28" t="s">
        <v>49</v>
      </c>
      <c r="O55" s="29">
        <v>3.5944280000000002E-2</v>
      </c>
      <c r="P55" s="28" t="s">
        <v>53</v>
      </c>
      <c r="Q55" s="29">
        <v>2.875542E-2</v>
      </c>
      <c r="R55" s="28"/>
      <c r="S55" s="29">
        <v>8.9860687500000001E-4</v>
      </c>
    </row>
    <row r="56" spans="1:19" x14ac:dyDescent="0.25">
      <c r="A56" s="28">
        <v>4</v>
      </c>
      <c r="B56" s="28" t="s">
        <v>199</v>
      </c>
      <c r="C56" s="28"/>
      <c r="D56" s="28"/>
      <c r="E56" s="29">
        <v>1.8917999999999999E-3</v>
      </c>
      <c r="F56" s="28"/>
      <c r="G56" s="30">
        <v>0.15134400000000001</v>
      </c>
      <c r="H56" s="28"/>
      <c r="I56" s="28">
        <v>1</v>
      </c>
      <c r="J56" s="28" t="s">
        <v>51</v>
      </c>
      <c r="K56" s="29">
        <v>0.83333332999999998</v>
      </c>
      <c r="L56" s="28" t="s">
        <v>51</v>
      </c>
      <c r="M56" s="29">
        <v>3.3333330000000001E-2</v>
      </c>
      <c r="N56" s="28" t="s">
        <v>49</v>
      </c>
      <c r="O56" s="29">
        <v>1.8917999999999999E-3</v>
      </c>
      <c r="P56" s="28" t="s">
        <v>53</v>
      </c>
      <c r="Q56" s="29">
        <v>1.51344E-3</v>
      </c>
      <c r="R56" s="28"/>
      <c r="S56" s="29">
        <v>4.7295E-5</v>
      </c>
    </row>
    <row r="57" spans="1:19" x14ac:dyDescent="0.25">
      <c r="A57" s="28">
        <v>4</v>
      </c>
      <c r="B57" s="28" t="s">
        <v>199</v>
      </c>
      <c r="C57" s="28"/>
      <c r="D57" s="28"/>
      <c r="E57" s="29">
        <v>2.7956999999999999E-3</v>
      </c>
      <c r="F57" s="28"/>
      <c r="G57" s="30">
        <v>0.22365599999999999</v>
      </c>
      <c r="H57" s="28"/>
      <c r="I57" s="28">
        <v>1</v>
      </c>
      <c r="J57" s="28" t="s">
        <v>51</v>
      </c>
      <c r="K57" s="29">
        <v>0.83333332999999998</v>
      </c>
      <c r="L57" s="28" t="s">
        <v>51</v>
      </c>
      <c r="M57" s="29">
        <v>3.3333330000000001E-2</v>
      </c>
      <c r="N57" s="28" t="s">
        <v>49</v>
      </c>
      <c r="O57" s="29">
        <v>2.7956999999999999E-3</v>
      </c>
      <c r="P57" s="28" t="s">
        <v>53</v>
      </c>
      <c r="Q57" s="29">
        <v>2.2365599999999999E-3</v>
      </c>
      <c r="R57" s="28"/>
      <c r="S57" s="29">
        <v>6.9892499999999995E-5</v>
      </c>
    </row>
    <row r="58" spans="1:19" x14ac:dyDescent="0.25">
      <c r="A58" s="28">
        <v>28</v>
      </c>
      <c r="B58" s="28" t="s">
        <v>117</v>
      </c>
      <c r="C58" s="28"/>
      <c r="D58" s="28"/>
      <c r="E58" s="29">
        <v>0.125</v>
      </c>
      <c r="F58" s="28"/>
      <c r="G58" s="30">
        <v>60</v>
      </c>
      <c r="H58" s="28"/>
      <c r="I58" s="28">
        <v>1</v>
      </c>
      <c r="J58" s="28" t="s">
        <v>51</v>
      </c>
      <c r="K58" s="29">
        <v>0.83333332999999998</v>
      </c>
      <c r="L58" s="28" t="s">
        <v>51</v>
      </c>
      <c r="M58" s="29">
        <v>3.3333330000000001E-2</v>
      </c>
      <c r="N58" s="28" t="s">
        <v>49</v>
      </c>
      <c r="O58" s="29">
        <v>0.125</v>
      </c>
      <c r="P58" s="28" t="s">
        <v>53</v>
      </c>
      <c r="Q58" s="29">
        <v>0.1</v>
      </c>
      <c r="R58" s="28"/>
      <c r="S58" s="29">
        <v>1.8749999999999999E-2</v>
      </c>
    </row>
    <row r="59" spans="1:19" x14ac:dyDescent="0.25">
      <c r="A59" s="28">
        <v>29</v>
      </c>
      <c r="B59" s="28" t="s">
        <v>192</v>
      </c>
      <c r="C59" s="28"/>
      <c r="D59" s="28"/>
      <c r="E59" s="29">
        <v>6.25E-2</v>
      </c>
      <c r="F59" s="28"/>
      <c r="G59" s="30">
        <v>10</v>
      </c>
      <c r="H59" s="28"/>
      <c r="I59" s="28">
        <v>1</v>
      </c>
      <c r="J59" s="28" t="s">
        <v>51</v>
      </c>
      <c r="K59" s="29">
        <v>0.8125</v>
      </c>
      <c r="L59" s="28" t="s">
        <v>51</v>
      </c>
      <c r="M59" s="29">
        <v>1.5625000000000001E-3</v>
      </c>
      <c r="N59" s="28" t="s">
        <v>49</v>
      </c>
      <c r="O59" s="29">
        <v>6.25E-2</v>
      </c>
      <c r="P59" s="28" t="s">
        <v>53</v>
      </c>
      <c r="Q59" s="29">
        <v>5.0683590000000001E-2</v>
      </c>
      <c r="R59" s="28"/>
      <c r="S59" s="29">
        <v>3.167724375E-3</v>
      </c>
    </row>
    <row r="60" spans="1:19" x14ac:dyDescent="0.25">
      <c r="A60" s="18">
        <v>29</v>
      </c>
      <c r="B60" s="18" t="s">
        <v>103</v>
      </c>
      <c r="C60" s="18"/>
      <c r="D60" s="18"/>
      <c r="E60" s="19">
        <v>6.25E-2</v>
      </c>
      <c r="F60" s="18"/>
      <c r="G60" s="20">
        <v>10</v>
      </c>
      <c r="H60" s="18"/>
      <c r="I60" s="18">
        <v>1</v>
      </c>
      <c r="J60" s="18" t="s">
        <v>51</v>
      </c>
      <c r="K60" s="19">
        <v>0.8125</v>
      </c>
      <c r="L60" s="18" t="s">
        <v>51</v>
      </c>
      <c r="M60" s="19">
        <v>1.5625000000000001E-3</v>
      </c>
      <c r="N60" s="18" t="s">
        <v>49</v>
      </c>
      <c r="O60" s="19">
        <v>6.25E-2</v>
      </c>
      <c r="P60" s="18" t="s">
        <v>53</v>
      </c>
      <c r="Q60" s="19">
        <v>5.0683590000000001E-2</v>
      </c>
      <c r="R60" s="18"/>
      <c r="S60" s="19">
        <v>3.167724375E-3</v>
      </c>
    </row>
    <row r="61" spans="1:19" x14ac:dyDescent="0.25">
      <c r="A61" s="21" t="s">
        <v>61</v>
      </c>
      <c r="B61" s="21"/>
      <c r="C61" s="21"/>
      <c r="D61" s="21"/>
      <c r="E61" s="21"/>
      <c r="F61" s="21"/>
      <c r="G61" s="22">
        <v>128.51620500000001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3">
        <v>4.0246763423242189E-2</v>
      </c>
    </row>
    <row r="63" spans="1:19" x14ac:dyDescent="0.25">
      <c r="A63" s="26" t="s">
        <v>57</v>
      </c>
      <c r="B63" s="44" t="s">
        <v>319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6"/>
    </row>
    <row r="64" spans="1:19" x14ac:dyDescent="0.25">
      <c r="A64" s="27" t="s">
        <v>214</v>
      </c>
      <c r="B64" s="41" t="s">
        <v>320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3"/>
    </row>
    <row r="66" spans="1:19" x14ac:dyDescent="0.25">
      <c r="A66" s="28">
        <v>14</v>
      </c>
      <c r="B66" s="28" t="s">
        <v>140</v>
      </c>
      <c r="C66" s="28"/>
      <c r="D66" s="28"/>
      <c r="E66" s="29">
        <v>3.125E-2</v>
      </c>
      <c r="F66" s="28"/>
      <c r="G66" s="30">
        <v>7.5</v>
      </c>
      <c r="H66" s="28"/>
      <c r="I66" s="28">
        <v>1</v>
      </c>
      <c r="J66" s="28" t="s">
        <v>51</v>
      </c>
      <c r="K66" s="29">
        <v>0.85</v>
      </c>
      <c r="L66" s="28" t="s">
        <v>51</v>
      </c>
      <c r="M66" s="29">
        <v>0.05</v>
      </c>
      <c r="N66" s="28" t="s">
        <v>49</v>
      </c>
      <c r="O66" s="29">
        <v>3.125E-2</v>
      </c>
      <c r="P66" s="28" t="s">
        <v>53</v>
      </c>
      <c r="Q66" s="29">
        <v>2.5000000000000001E-2</v>
      </c>
      <c r="R66" s="28"/>
      <c r="S66" s="29">
        <v>2.3437499999999999E-3</v>
      </c>
    </row>
    <row r="67" spans="1:19" x14ac:dyDescent="0.25">
      <c r="A67" s="28">
        <v>15</v>
      </c>
      <c r="B67" s="28" t="s">
        <v>227</v>
      </c>
      <c r="C67" s="28"/>
      <c r="D67" s="28"/>
      <c r="E67" s="29">
        <v>3.125E-2</v>
      </c>
      <c r="F67" s="28"/>
      <c r="G67" s="30">
        <v>1.25</v>
      </c>
      <c r="H67" s="28"/>
      <c r="I67" s="28">
        <v>1</v>
      </c>
      <c r="J67" s="28" t="s">
        <v>51</v>
      </c>
      <c r="K67" s="29">
        <v>0.85</v>
      </c>
      <c r="L67" s="28" t="s">
        <v>51</v>
      </c>
      <c r="M67" s="29">
        <v>0.05</v>
      </c>
      <c r="N67" s="28" t="s">
        <v>49</v>
      </c>
      <c r="O67" s="29">
        <v>3.125E-2</v>
      </c>
      <c r="P67" s="28" t="s">
        <v>53</v>
      </c>
      <c r="Q67" s="29">
        <v>2.5000000000000001E-2</v>
      </c>
      <c r="R67" s="28"/>
      <c r="S67" s="29">
        <v>3.9062500000000002E-4</v>
      </c>
    </row>
    <row r="68" spans="1:19" x14ac:dyDescent="0.25">
      <c r="A68" s="28">
        <v>16</v>
      </c>
      <c r="B68" s="28" t="s">
        <v>60</v>
      </c>
      <c r="C68" s="28"/>
      <c r="D68" s="28"/>
      <c r="E68" s="29">
        <v>2.6041699999999998E-3</v>
      </c>
      <c r="F68" s="28"/>
      <c r="G68" s="30">
        <v>0.3125</v>
      </c>
      <c r="H68" s="28"/>
      <c r="I68" s="28">
        <v>1</v>
      </c>
      <c r="J68" s="28" t="s">
        <v>51</v>
      </c>
      <c r="K68" s="29">
        <v>0.85</v>
      </c>
      <c r="L68" s="28" t="s">
        <v>51</v>
      </c>
      <c r="M68" s="29">
        <v>0.05</v>
      </c>
      <c r="N68" s="28" t="s">
        <v>49</v>
      </c>
      <c r="O68" s="29">
        <v>2.6041699999999998E-3</v>
      </c>
      <c r="P68" s="28" t="s">
        <v>53</v>
      </c>
      <c r="Q68" s="29">
        <v>2.0833399999999999E-3</v>
      </c>
      <c r="R68" s="28"/>
      <c r="S68" s="29">
        <v>9.7656562500000004E-5</v>
      </c>
    </row>
    <row r="69" spans="1:19" x14ac:dyDescent="0.25">
      <c r="A69" s="28">
        <v>16</v>
      </c>
      <c r="B69" s="28" t="s">
        <v>238</v>
      </c>
      <c r="C69" s="28"/>
      <c r="D69" s="28"/>
      <c r="E69" s="29">
        <v>1.8229169999999999E-2</v>
      </c>
      <c r="F69" s="28"/>
      <c r="G69" s="30">
        <v>2.1875</v>
      </c>
      <c r="H69" s="28"/>
      <c r="I69" s="28">
        <v>1</v>
      </c>
      <c r="J69" s="28" t="s">
        <v>51</v>
      </c>
      <c r="K69" s="29">
        <v>0.85714285999999995</v>
      </c>
      <c r="L69" s="28" t="s">
        <v>51</v>
      </c>
      <c r="M69" s="29">
        <v>5.7142859999999997E-2</v>
      </c>
      <c r="N69" s="28" t="s">
        <v>49</v>
      </c>
      <c r="O69" s="29">
        <v>1.8229169999999999E-2</v>
      </c>
      <c r="P69" s="28" t="s">
        <v>53</v>
      </c>
      <c r="Q69" s="29">
        <v>1.458334E-2</v>
      </c>
      <c r="R69" s="28"/>
      <c r="S69" s="29">
        <v>6.8359406250000001E-4</v>
      </c>
    </row>
    <row r="70" spans="1:19" x14ac:dyDescent="0.25">
      <c r="A70" s="28">
        <v>16</v>
      </c>
      <c r="B70" s="28" t="s">
        <v>228</v>
      </c>
      <c r="C70" s="28"/>
      <c r="D70" s="28"/>
      <c r="E70" s="29">
        <v>1.0416669999999999E-2</v>
      </c>
      <c r="F70" s="28"/>
      <c r="G70" s="30">
        <v>1.25</v>
      </c>
      <c r="H70" s="28"/>
      <c r="I70" s="28">
        <v>1</v>
      </c>
      <c r="J70" s="28" t="s">
        <v>51</v>
      </c>
      <c r="K70" s="29">
        <v>0.85714285999999995</v>
      </c>
      <c r="L70" s="28" t="s">
        <v>51</v>
      </c>
      <c r="M70" s="29">
        <v>0.05</v>
      </c>
      <c r="N70" s="28" t="s">
        <v>49</v>
      </c>
      <c r="O70" s="29">
        <v>1.0416669999999999E-2</v>
      </c>
      <c r="P70" s="28" t="s">
        <v>53</v>
      </c>
      <c r="Q70" s="29">
        <v>8.3333399999999998E-3</v>
      </c>
      <c r="R70" s="28"/>
      <c r="S70" s="29">
        <v>3.9062531250000002E-4</v>
      </c>
    </row>
    <row r="71" spans="1:19" x14ac:dyDescent="0.25">
      <c r="A71" s="28">
        <v>17</v>
      </c>
      <c r="B71" s="28" t="s">
        <v>9</v>
      </c>
      <c r="C71" s="28"/>
      <c r="D71" s="28"/>
      <c r="E71" s="29">
        <v>3.125E-2</v>
      </c>
      <c r="F71" s="28"/>
      <c r="G71" s="30">
        <v>7.5</v>
      </c>
      <c r="H71" s="28"/>
      <c r="I71" s="28">
        <v>1</v>
      </c>
      <c r="J71" s="28" t="s">
        <v>51</v>
      </c>
      <c r="K71" s="29">
        <v>0.85</v>
      </c>
      <c r="L71" s="28" t="s">
        <v>51</v>
      </c>
      <c r="M71" s="29">
        <v>0.05</v>
      </c>
      <c r="N71" s="28" t="s">
        <v>49</v>
      </c>
      <c r="O71" s="29">
        <v>3.125E-2</v>
      </c>
      <c r="P71" s="28" t="s">
        <v>53</v>
      </c>
      <c r="Q71" s="29">
        <v>2.5000000000000001E-2</v>
      </c>
      <c r="R71" s="28"/>
      <c r="S71" s="29">
        <v>2.3437499999999999E-3</v>
      </c>
    </row>
    <row r="72" spans="1:19" x14ac:dyDescent="0.25">
      <c r="A72" s="28">
        <v>18</v>
      </c>
      <c r="B72" s="28" t="s">
        <v>229</v>
      </c>
      <c r="C72" s="28"/>
      <c r="D72" s="28"/>
      <c r="E72" s="29">
        <v>3.125E-2</v>
      </c>
      <c r="F72" s="28"/>
      <c r="G72" s="30">
        <v>10</v>
      </c>
      <c r="H72" s="28"/>
      <c r="I72" s="28">
        <v>1</v>
      </c>
      <c r="J72" s="28" t="s">
        <v>51</v>
      </c>
      <c r="K72" s="29">
        <v>0.85</v>
      </c>
      <c r="L72" s="28" t="s">
        <v>51</v>
      </c>
      <c r="M72" s="29">
        <v>0.05</v>
      </c>
      <c r="N72" s="28" t="s">
        <v>49</v>
      </c>
      <c r="O72" s="29">
        <v>3.125E-2</v>
      </c>
      <c r="P72" s="28" t="s">
        <v>53</v>
      </c>
      <c r="Q72" s="29">
        <v>2.5000000000000001E-2</v>
      </c>
      <c r="R72" s="28"/>
      <c r="S72" s="29">
        <v>3.1250000000000002E-3</v>
      </c>
    </row>
    <row r="73" spans="1:19" x14ac:dyDescent="0.25">
      <c r="A73" s="28">
        <v>19</v>
      </c>
      <c r="B73" s="28" t="s">
        <v>216</v>
      </c>
      <c r="C73" s="28"/>
      <c r="D73" s="28"/>
      <c r="E73" s="29">
        <v>3.125E-2</v>
      </c>
      <c r="F73" s="28"/>
      <c r="G73" s="30">
        <v>5</v>
      </c>
      <c r="H73" s="28"/>
      <c r="I73" s="28">
        <v>1</v>
      </c>
      <c r="J73" s="28" t="s">
        <v>51</v>
      </c>
      <c r="K73" s="29">
        <v>0.83333332999999998</v>
      </c>
      <c r="L73" s="28" t="s">
        <v>51</v>
      </c>
      <c r="M73" s="29">
        <v>3.3333330000000001E-2</v>
      </c>
      <c r="N73" s="28" t="s">
        <v>49</v>
      </c>
      <c r="O73" s="29">
        <v>3.125E-2</v>
      </c>
      <c r="P73" s="28" t="s">
        <v>53</v>
      </c>
      <c r="Q73" s="29">
        <v>2.5000000000000001E-2</v>
      </c>
      <c r="R73" s="28"/>
      <c r="S73" s="29">
        <v>1.5625000000000001E-3</v>
      </c>
    </row>
    <row r="74" spans="1:19" x14ac:dyDescent="0.25">
      <c r="A74" s="28">
        <v>20</v>
      </c>
      <c r="B74" s="28" t="s">
        <v>230</v>
      </c>
      <c r="C74" s="28"/>
      <c r="D74" s="28"/>
      <c r="E74" s="29">
        <v>3.125E-2</v>
      </c>
      <c r="F74" s="28"/>
      <c r="G74" s="30">
        <v>5</v>
      </c>
      <c r="H74" s="28"/>
      <c r="I74" s="28">
        <v>1</v>
      </c>
      <c r="J74" s="28" t="s">
        <v>51</v>
      </c>
      <c r="K74" s="29">
        <v>0.85</v>
      </c>
      <c r="L74" s="28" t="s">
        <v>51</v>
      </c>
      <c r="M74" s="29">
        <v>0.05</v>
      </c>
      <c r="N74" s="28" t="s">
        <v>49</v>
      </c>
      <c r="O74" s="29">
        <v>3.125E-2</v>
      </c>
      <c r="P74" s="28" t="s">
        <v>53</v>
      </c>
      <c r="Q74" s="29">
        <v>2.5000000000000001E-2</v>
      </c>
      <c r="R74" s="28"/>
      <c r="S74" s="29">
        <v>1.5625000000000001E-3</v>
      </c>
    </row>
    <row r="75" spans="1:19" x14ac:dyDescent="0.25">
      <c r="A75" s="18">
        <v>28</v>
      </c>
      <c r="B75" s="18" t="s">
        <v>117</v>
      </c>
      <c r="C75" s="18"/>
      <c r="D75" s="18"/>
      <c r="E75" s="19">
        <v>0.125</v>
      </c>
      <c r="F75" s="18"/>
      <c r="G75" s="20">
        <v>60</v>
      </c>
      <c r="H75" s="18"/>
      <c r="I75" s="18">
        <v>1</v>
      </c>
      <c r="J75" s="18" t="s">
        <v>51</v>
      </c>
      <c r="K75" s="19">
        <v>0.83333332999999998</v>
      </c>
      <c r="L75" s="18" t="s">
        <v>51</v>
      </c>
      <c r="M75" s="19">
        <v>3.3333330000000001E-2</v>
      </c>
      <c r="N75" s="18" t="s">
        <v>49</v>
      </c>
      <c r="O75" s="19">
        <v>0.125</v>
      </c>
      <c r="P75" s="18" t="s">
        <v>53</v>
      </c>
      <c r="Q75" s="19">
        <v>0.1</v>
      </c>
      <c r="R75" s="18"/>
      <c r="S75" s="19">
        <v>1.8749999999999999E-2</v>
      </c>
    </row>
    <row r="76" spans="1:19" x14ac:dyDescent="0.25">
      <c r="A76" s="21" t="s">
        <v>61</v>
      </c>
      <c r="B76" s="21"/>
      <c r="C76" s="21"/>
      <c r="D76" s="21"/>
      <c r="E76" s="21"/>
      <c r="F76" s="21"/>
      <c r="G76" s="22">
        <v>100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3">
        <v>3.1250000937500001E-2</v>
      </c>
    </row>
    <row r="78" spans="1:19" x14ac:dyDescent="0.25">
      <c r="A78" s="26" t="s">
        <v>57</v>
      </c>
      <c r="B78" s="44" t="s">
        <v>321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6"/>
    </row>
    <row r="79" spans="1:19" x14ac:dyDescent="0.25">
      <c r="A79" s="27" t="s">
        <v>214</v>
      </c>
      <c r="B79" s="41" t="s">
        <v>322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3"/>
    </row>
    <row r="81" spans="1:19" x14ac:dyDescent="0.25">
      <c r="A81" s="28">
        <v>1</v>
      </c>
      <c r="B81" s="28" t="s">
        <v>126</v>
      </c>
      <c r="C81" s="28"/>
      <c r="D81" s="28"/>
      <c r="E81" s="29">
        <v>0.53437500000000004</v>
      </c>
      <c r="F81" s="28"/>
      <c r="G81" s="30">
        <v>0.72140599999999999</v>
      </c>
      <c r="H81" s="28"/>
      <c r="I81" s="28">
        <v>1</v>
      </c>
      <c r="J81" s="28" t="s">
        <v>51</v>
      </c>
      <c r="K81" s="29">
        <v>0.83333332999999998</v>
      </c>
      <c r="L81" s="28" t="s">
        <v>51</v>
      </c>
      <c r="M81" s="29">
        <v>3.3333330000000001E-2</v>
      </c>
      <c r="N81" s="28" t="s">
        <v>49</v>
      </c>
      <c r="O81" s="29">
        <v>0.53437500000000004</v>
      </c>
      <c r="P81" s="28" t="s">
        <v>53</v>
      </c>
      <c r="Q81" s="29">
        <v>0.42749999999999999</v>
      </c>
      <c r="R81" s="28"/>
      <c r="S81" s="29">
        <v>2.25439453125E-4</v>
      </c>
    </row>
    <row r="82" spans="1:19" x14ac:dyDescent="0.25">
      <c r="A82" s="28">
        <v>1</v>
      </c>
      <c r="B82" s="28" t="s">
        <v>126</v>
      </c>
      <c r="C82" s="28"/>
      <c r="D82" s="28"/>
      <c r="E82" s="29">
        <v>8.9062500000000003E-2</v>
      </c>
      <c r="F82" s="28"/>
      <c r="G82" s="30">
        <v>0.12023399999999999</v>
      </c>
      <c r="H82" s="28"/>
      <c r="I82" s="28">
        <v>1</v>
      </c>
      <c r="J82" s="28" t="s">
        <v>51</v>
      </c>
      <c r="K82" s="29">
        <v>0.83333332999999998</v>
      </c>
      <c r="L82" s="28" t="s">
        <v>51</v>
      </c>
      <c r="M82" s="29">
        <v>3.3333330000000001E-2</v>
      </c>
      <c r="N82" s="28" t="s">
        <v>49</v>
      </c>
      <c r="O82" s="29">
        <v>8.9062500000000003E-2</v>
      </c>
      <c r="P82" s="28" t="s">
        <v>53</v>
      </c>
      <c r="Q82" s="29">
        <v>7.1249999999999994E-2</v>
      </c>
      <c r="R82" s="28"/>
      <c r="S82" s="29">
        <v>3.7573242187500002E-5</v>
      </c>
    </row>
    <row r="83" spans="1:19" x14ac:dyDescent="0.25">
      <c r="A83" s="28">
        <v>1</v>
      </c>
      <c r="B83" s="28" t="s">
        <v>126</v>
      </c>
      <c r="C83" s="28"/>
      <c r="D83" s="28"/>
      <c r="E83" s="29">
        <v>4.6874999999999998E-3</v>
      </c>
      <c r="F83" s="28"/>
      <c r="G83" s="30">
        <v>6.3280000000000003E-3</v>
      </c>
      <c r="H83" s="28"/>
      <c r="I83" s="28">
        <v>1</v>
      </c>
      <c r="J83" s="28" t="s">
        <v>51</v>
      </c>
      <c r="K83" s="29">
        <v>0.83333332999999998</v>
      </c>
      <c r="L83" s="28" t="s">
        <v>51</v>
      </c>
      <c r="M83" s="29">
        <v>3.3333330000000001E-2</v>
      </c>
      <c r="N83" s="28" t="s">
        <v>49</v>
      </c>
      <c r="O83" s="29">
        <v>4.6874999999999998E-3</v>
      </c>
      <c r="P83" s="28" t="s">
        <v>53</v>
      </c>
      <c r="Q83" s="29">
        <v>3.7499999999999999E-3</v>
      </c>
      <c r="R83" s="28"/>
      <c r="S83" s="29">
        <v>1.9775390624999999E-6</v>
      </c>
    </row>
    <row r="84" spans="1:19" x14ac:dyDescent="0.25">
      <c r="A84" s="28">
        <v>1</v>
      </c>
      <c r="B84" s="28" t="s">
        <v>126</v>
      </c>
      <c r="C84" s="28"/>
      <c r="D84" s="28"/>
      <c r="E84" s="29">
        <v>2.8125000000000001E-2</v>
      </c>
      <c r="F84" s="28"/>
      <c r="G84" s="30">
        <v>3.7969000000000003E-2</v>
      </c>
      <c r="H84" s="28"/>
      <c r="I84" s="28">
        <v>1</v>
      </c>
      <c r="J84" s="28" t="s">
        <v>51</v>
      </c>
      <c r="K84" s="29">
        <v>0.83333332999999998</v>
      </c>
      <c r="L84" s="28" t="s">
        <v>51</v>
      </c>
      <c r="M84" s="29">
        <v>3.3333330000000001E-2</v>
      </c>
      <c r="N84" s="28" t="s">
        <v>49</v>
      </c>
      <c r="O84" s="29">
        <v>2.8125000000000001E-2</v>
      </c>
      <c r="P84" s="28" t="s">
        <v>53</v>
      </c>
      <c r="Q84" s="29">
        <v>2.2499999999999999E-2</v>
      </c>
      <c r="R84" s="28"/>
      <c r="S84" s="29">
        <v>1.1865234374999999E-5</v>
      </c>
    </row>
    <row r="85" spans="1:19" x14ac:dyDescent="0.25">
      <c r="A85" s="28">
        <v>1</v>
      </c>
      <c r="B85" s="28" t="s">
        <v>126</v>
      </c>
      <c r="C85" s="28"/>
      <c r="D85" s="28"/>
      <c r="E85" s="29">
        <v>0.25</v>
      </c>
      <c r="F85" s="28"/>
      <c r="G85" s="30">
        <v>0.33750000000000002</v>
      </c>
      <c r="H85" s="28"/>
      <c r="I85" s="28">
        <v>1</v>
      </c>
      <c r="J85" s="28" t="s">
        <v>51</v>
      </c>
      <c r="K85" s="29">
        <v>0.83333332999999998</v>
      </c>
      <c r="L85" s="28" t="s">
        <v>51</v>
      </c>
      <c r="M85" s="29">
        <v>3.3333330000000001E-2</v>
      </c>
      <c r="N85" s="28" t="s">
        <v>49</v>
      </c>
      <c r="O85" s="29">
        <v>0.25</v>
      </c>
      <c r="P85" s="28" t="s">
        <v>53</v>
      </c>
      <c r="Q85" s="29">
        <v>0.2</v>
      </c>
      <c r="R85" s="28"/>
      <c r="S85" s="29">
        <v>1.0546875E-4</v>
      </c>
    </row>
    <row r="86" spans="1:19" x14ac:dyDescent="0.25">
      <c r="A86" s="28">
        <v>2</v>
      </c>
      <c r="B86" s="28" t="s">
        <v>29</v>
      </c>
      <c r="C86" s="28"/>
      <c r="D86" s="28"/>
      <c r="E86" s="29">
        <v>2.5000000000000001E-2</v>
      </c>
      <c r="F86" s="28"/>
      <c r="G86" s="30">
        <v>7.9662499999999996</v>
      </c>
      <c r="H86" s="28"/>
      <c r="I86" s="28">
        <v>1</v>
      </c>
      <c r="J86" s="28" t="s">
        <v>51</v>
      </c>
      <c r="K86" s="29">
        <v>0.85</v>
      </c>
      <c r="L86" s="28" t="s">
        <v>51</v>
      </c>
      <c r="M86" s="29">
        <v>0.05</v>
      </c>
      <c r="N86" s="28" t="s">
        <v>49</v>
      </c>
      <c r="O86" s="29">
        <v>2.5000000000000001E-2</v>
      </c>
      <c r="P86" s="28" t="s">
        <v>53</v>
      </c>
      <c r="Q86" s="29">
        <v>0.02</v>
      </c>
      <c r="R86" s="28"/>
      <c r="S86" s="29">
        <v>2.4894531249999999E-3</v>
      </c>
    </row>
    <row r="87" spans="1:19" x14ac:dyDescent="0.25">
      <c r="A87" s="28">
        <v>2</v>
      </c>
      <c r="B87" s="28" t="s">
        <v>226</v>
      </c>
      <c r="C87" s="28"/>
      <c r="D87" s="28"/>
      <c r="E87" s="29">
        <v>0.13125000000000001</v>
      </c>
      <c r="F87" s="28"/>
      <c r="G87" s="30">
        <v>41.822814000000001</v>
      </c>
      <c r="H87" s="28"/>
      <c r="I87" s="28">
        <v>1</v>
      </c>
      <c r="J87" s="28" t="s">
        <v>51</v>
      </c>
      <c r="K87" s="29">
        <v>0.83333332999999998</v>
      </c>
      <c r="L87" s="28" t="s">
        <v>51</v>
      </c>
      <c r="M87" s="29">
        <v>3.3333330000000001E-2</v>
      </c>
      <c r="N87" s="28" t="s">
        <v>49</v>
      </c>
      <c r="O87" s="29">
        <v>0.13125000000000001</v>
      </c>
      <c r="P87" s="28" t="s">
        <v>53</v>
      </c>
      <c r="Q87" s="29">
        <v>0.105</v>
      </c>
      <c r="R87" s="28"/>
      <c r="S87" s="29">
        <v>1.306962890625E-2</v>
      </c>
    </row>
    <row r="88" spans="1:19" x14ac:dyDescent="0.25">
      <c r="A88" s="28">
        <v>2</v>
      </c>
      <c r="B88" s="28" t="s">
        <v>29</v>
      </c>
      <c r="C88" s="28"/>
      <c r="D88" s="28"/>
      <c r="E88" s="29">
        <v>4.6874999999999998E-4</v>
      </c>
      <c r="F88" s="28"/>
      <c r="G88" s="30">
        <v>0.149367</v>
      </c>
      <c r="H88" s="28"/>
      <c r="I88" s="28">
        <v>1</v>
      </c>
      <c r="J88" s="28" t="s">
        <v>51</v>
      </c>
      <c r="K88" s="29">
        <v>0.85</v>
      </c>
      <c r="L88" s="28" t="s">
        <v>51</v>
      </c>
      <c r="M88" s="29">
        <v>0.05</v>
      </c>
      <c r="N88" s="28" t="s">
        <v>49</v>
      </c>
      <c r="O88" s="29">
        <v>4.6874999999999998E-4</v>
      </c>
      <c r="P88" s="28" t="s">
        <v>53</v>
      </c>
      <c r="Q88" s="29">
        <v>3.7500000000000001E-4</v>
      </c>
      <c r="R88" s="28"/>
      <c r="S88" s="29">
        <v>4.667724609375E-5</v>
      </c>
    </row>
    <row r="89" spans="1:19" x14ac:dyDescent="0.25">
      <c r="A89" s="28">
        <v>2</v>
      </c>
      <c r="B89" s="28" t="s">
        <v>29</v>
      </c>
      <c r="C89" s="28"/>
      <c r="D89" s="28"/>
      <c r="E89" s="29">
        <v>5.3437499999999999E-2</v>
      </c>
      <c r="F89" s="28"/>
      <c r="G89" s="30">
        <v>17.027858999999999</v>
      </c>
      <c r="H89" s="28"/>
      <c r="I89" s="28">
        <v>1</v>
      </c>
      <c r="J89" s="28" t="s">
        <v>51</v>
      </c>
      <c r="K89" s="29">
        <v>0.85</v>
      </c>
      <c r="L89" s="28" t="s">
        <v>51</v>
      </c>
      <c r="M89" s="29">
        <v>0.05</v>
      </c>
      <c r="N89" s="28" t="s">
        <v>49</v>
      </c>
      <c r="O89" s="29">
        <v>5.3437499999999999E-2</v>
      </c>
      <c r="P89" s="28" t="s">
        <v>53</v>
      </c>
      <c r="Q89" s="29">
        <v>4.2750000000000003E-2</v>
      </c>
      <c r="R89" s="28"/>
      <c r="S89" s="29">
        <v>5.3212060546875004E-3</v>
      </c>
    </row>
    <row r="90" spans="1:19" x14ac:dyDescent="0.25">
      <c r="A90" s="28">
        <v>2</v>
      </c>
      <c r="B90" s="28" t="s">
        <v>226</v>
      </c>
      <c r="C90" s="28"/>
      <c r="D90" s="28"/>
      <c r="E90" s="29">
        <v>4.6757809999999997E-2</v>
      </c>
      <c r="F90" s="28"/>
      <c r="G90" s="30">
        <v>14.899376</v>
      </c>
      <c r="H90" s="28"/>
      <c r="I90" s="28">
        <v>1</v>
      </c>
      <c r="J90" s="28" t="s">
        <v>51</v>
      </c>
      <c r="K90" s="29">
        <v>0.83333332999999998</v>
      </c>
      <c r="L90" s="28" t="s">
        <v>51</v>
      </c>
      <c r="M90" s="29">
        <v>3.3333330000000001E-2</v>
      </c>
      <c r="N90" s="28" t="s">
        <v>49</v>
      </c>
      <c r="O90" s="29">
        <v>4.6757809999999997E-2</v>
      </c>
      <c r="P90" s="28" t="s">
        <v>53</v>
      </c>
      <c r="Q90" s="29">
        <v>3.7406250000000002E-2</v>
      </c>
      <c r="R90" s="28"/>
      <c r="S90" s="29">
        <v>4.6560552978515629E-3</v>
      </c>
    </row>
    <row r="91" spans="1:19" x14ac:dyDescent="0.25">
      <c r="A91" s="28">
        <v>2</v>
      </c>
      <c r="B91" s="28" t="s">
        <v>226</v>
      </c>
      <c r="C91" s="28"/>
      <c r="D91" s="28"/>
      <c r="E91" s="29">
        <v>2.46094E-3</v>
      </c>
      <c r="F91" s="28"/>
      <c r="G91" s="30">
        <v>0.78417899999999996</v>
      </c>
      <c r="H91" s="28"/>
      <c r="I91" s="28">
        <v>1</v>
      </c>
      <c r="J91" s="28" t="s">
        <v>51</v>
      </c>
      <c r="K91" s="29">
        <v>0.83333332999999998</v>
      </c>
      <c r="L91" s="28" t="s">
        <v>51</v>
      </c>
      <c r="M91" s="29">
        <v>3.3333330000000001E-2</v>
      </c>
      <c r="N91" s="28" t="s">
        <v>49</v>
      </c>
      <c r="O91" s="29">
        <v>2.46094E-3</v>
      </c>
      <c r="P91" s="28" t="s">
        <v>53</v>
      </c>
      <c r="Q91" s="29">
        <v>1.96875E-3</v>
      </c>
      <c r="R91" s="28"/>
      <c r="S91" s="29">
        <v>2.450555419921875E-4</v>
      </c>
    </row>
    <row r="92" spans="1:19" x14ac:dyDescent="0.25">
      <c r="A92" s="28">
        <v>2</v>
      </c>
      <c r="B92" s="28" t="s">
        <v>226</v>
      </c>
      <c r="C92" s="28"/>
      <c r="D92" s="28"/>
      <c r="E92" s="29">
        <v>1.476563E-2</v>
      </c>
      <c r="F92" s="28"/>
      <c r="G92" s="30">
        <v>4.7050679999999998</v>
      </c>
      <c r="H92" s="28"/>
      <c r="I92" s="28">
        <v>1</v>
      </c>
      <c r="J92" s="28" t="s">
        <v>51</v>
      </c>
      <c r="K92" s="29">
        <v>0.83333332999999998</v>
      </c>
      <c r="L92" s="28" t="s">
        <v>51</v>
      </c>
      <c r="M92" s="29">
        <v>3.3333330000000001E-2</v>
      </c>
      <c r="N92" s="28" t="s">
        <v>49</v>
      </c>
      <c r="O92" s="29">
        <v>1.476563E-2</v>
      </c>
      <c r="P92" s="28" t="s">
        <v>53</v>
      </c>
      <c r="Q92" s="29">
        <v>1.18125E-2</v>
      </c>
      <c r="R92" s="28"/>
      <c r="S92" s="29">
        <v>1.4703332519531249E-3</v>
      </c>
    </row>
    <row r="93" spans="1:19" x14ac:dyDescent="0.25">
      <c r="A93" s="28">
        <v>2</v>
      </c>
      <c r="B93" s="28" t="s">
        <v>29</v>
      </c>
      <c r="C93" s="28"/>
      <c r="D93" s="28"/>
      <c r="E93" s="29">
        <v>8.9062499999999992E-3</v>
      </c>
      <c r="F93" s="28"/>
      <c r="G93" s="30">
        <v>2.837977</v>
      </c>
      <c r="H93" s="28"/>
      <c r="I93" s="28">
        <v>1</v>
      </c>
      <c r="J93" s="28" t="s">
        <v>51</v>
      </c>
      <c r="K93" s="29">
        <v>0.85</v>
      </c>
      <c r="L93" s="28" t="s">
        <v>51</v>
      </c>
      <c r="M93" s="29">
        <v>0.05</v>
      </c>
      <c r="N93" s="28" t="s">
        <v>49</v>
      </c>
      <c r="O93" s="29">
        <v>8.9062499999999992E-3</v>
      </c>
      <c r="P93" s="28" t="s">
        <v>53</v>
      </c>
      <c r="Q93" s="29">
        <v>7.1250000000000003E-3</v>
      </c>
      <c r="R93" s="28"/>
      <c r="S93" s="29">
        <v>8.8686767578125003E-4</v>
      </c>
    </row>
    <row r="94" spans="1:19" x14ac:dyDescent="0.25">
      <c r="A94" s="28">
        <v>2</v>
      </c>
      <c r="B94" s="28" t="s">
        <v>226</v>
      </c>
      <c r="C94" s="28"/>
      <c r="D94" s="28"/>
      <c r="E94" s="29">
        <v>0.28054688</v>
      </c>
      <c r="F94" s="28"/>
      <c r="G94" s="30">
        <v>89.396263000000005</v>
      </c>
      <c r="H94" s="28"/>
      <c r="I94" s="28">
        <v>1</v>
      </c>
      <c r="J94" s="28" t="s">
        <v>51</v>
      </c>
      <c r="K94" s="29">
        <v>0.83333332999999998</v>
      </c>
      <c r="L94" s="28" t="s">
        <v>51</v>
      </c>
      <c r="M94" s="29">
        <v>3.3333330000000001E-2</v>
      </c>
      <c r="N94" s="28" t="s">
        <v>49</v>
      </c>
      <c r="O94" s="29">
        <v>0.28054688</v>
      </c>
      <c r="P94" s="28" t="s">
        <v>53</v>
      </c>
      <c r="Q94" s="29">
        <v>0.22443750000000001</v>
      </c>
      <c r="R94" s="28"/>
      <c r="S94" s="29">
        <v>2.7936331787109379E-2</v>
      </c>
    </row>
    <row r="95" spans="1:19" x14ac:dyDescent="0.25">
      <c r="A95" s="28">
        <v>2</v>
      </c>
      <c r="B95" s="28" t="s">
        <v>29</v>
      </c>
      <c r="C95" s="28"/>
      <c r="D95" s="28"/>
      <c r="E95" s="29">
        <v>2.8124999999999999E-3</v>
      </c>
      <c r="F95" s="28"/>
      <c r="G95" s="30">
        <v>0.89620299999999997</v>
      </c>
      <c r="H95" s="28"/>
      <c r="I95" s="28">
        <v>1</v>
      </c>
      <c r="J95" s="28" t="s">
        <v>51</v>
      </c>
      <c r="K95" s="29">
        <v>0.85</v>
      </c>
      <c r="L95" s="28" t="s">
        <v>51</v>
      </c>
      <c r="M95" s="29">
        <v>0.05</v>
      </c>
      <c r="N95" s="28" t="s">
        <v>49</v>
      </c>
      <c r="O95" s="29">
        <v>2.8124999999999999E-3</v>
      </c>
      <c r="P95" s="28" t="s">
        <v>53</v>
      </c>
      <c r="Q95" s="29">
        <v>2.2499999999999998E-3</v>
      </c>
      <c r="R95" s="28"/>
      <c r="S95" s="29">
        <v>2.8006347656250001E-4</v>
      </c>
    </row>
    <row r="96" spans="1:19" x14ac:dyDescent="0.25">
      <c r="A96" s="28">
        <v>3</v>
      </c>
      <c r="B96" s="28" t="s">
        <v>174</v>
      </c>
      <c r="C96" s="28" t="s">
        <v>317</v>
      </c>
      <c r="D96" s="28"/>
      <c r="E96" s="29">
        <v>6.6796880000000003E-2</v>
      </c>
      <c r="F96" s="28"/>
      <c r="G96" s="30">
        <v>16.031251000000001</v>
      </c>
      <c r="H96" s="28"/>
      <c r="I96" s="28">
        <v>1</v>
      </c>
      <c r="J96" s="28" t="s">
        <v>51</v>
      </c>
      <c r="K96" s="29">
        <v>0.85</v>
      </c>
      <c r="L96" s="28" t="s">
        <v>51</v>
      </c>
      <c r="M96" s="29">
        <v>0.05</v>
      </c>
      <c r="N96" s="28" t="s">
        <v>49</v>
      </c>
      <c r="O96" s="29">
        <v>6.6796880000000003E-2</v>
      </c>
      <c r="P96" s="28" t="s">
        <v>53</v>
      </c>
      <c r="Q96" s="29">
        <v>5.3437499999999999E-2</v>
      </c>
      <c r="R96" s="28"/>
      <c r="S96" s="29">
        <v>5.0097656249999999E-3</v>
      </c>
    </row>
    <row r="97" spans="1:19" x14ac:dyDescent="0.25">
      <c r="A97" s="28">
        <v>3</v>
      </c>
      <c r="B97" s="28" t="s">
        <v>316</v>
      </c>
      <c r="C97" s="28"/>
      <c r="D97" s="28"/>
      <c r="E97" s="29">
        <v>6.6796880000000003E-2</v>
      </c>
      <c r="F97" s="28"/>
      <c r="G97" s="30">
        <v>16.031251000000001</v>
      </c>
      <c r="H97" s="28"/>
      <c r="I97" s="28">
        <v>1</v>
      </c>
      <c r="J97" s="28" t="s">
        <v>51</v>
      </c>
      <c r="K97" s="29">
        <v>0.85</v>
      </c>
      <c r="L97" s="28" t="s">
        <v>51</v>
      </c>
      <c r="M97" s="29">
        <v>3.3333330000000001E-2</v>
      </c>
      <c r="N97" s="28" t="s">
        <v>49</v>
      </c>
      <c r="O97" s="29">
        <v>6.6796880000000003E-2</v>
      </c>
      <c r="P97" s="28" t="s">
        <v>53</v>
      </c>
      <c r="Q97" s="29">
        <v>5.3437499999999999E-2</v>
      </c>
      <c r="R97" s="28"/>
      <c r="S97" s="29">
        <v>5.0097656249999999E-3</v>
      </c>
    </row>
    <row r="98" spans="1:19" x14ac:dyDescent="0.25">
      <c r="A98" s="28">
        <v>3</v>
      </c>
      <c r="B98" s="28" t="s">
        <v>316</v>
      </c>
      <c r="C98" s="28"/>
      <c r="D98" s="28"/>
      <c r="E98" s="29">
        <v>2.1093750000000001E-2</v>
      </c>
      <c r="F98" s="28"/>
      <c r="G98" s="30">
        <v>5.0625</v>
      </c>
      <c r="H98" s="28"/>
      <c r="I98" s="28">
        <v>1</v>
      </c>
      <c r="J98" s="28" t="s">
        <v>51</v>
      </c>
      <c r="K98" s="29">
        <v>0.85</v>
      </c>
      <c r="L98" s="28" t="s">
        <v>51</v>
      </c>
      <c r="M98" s="29">
        <v>3.3333330000000001E-2</v>
      </c>
      <c r="N98" s="28" t="s">
        <v>49</v>
      </c>
      <c r="O98" s="29">
        <v>2.1093750000000001E-2</v>
      </c>
      <c r="P98" s="28" t="s">
        <v>53</v>
      </c>
      <c r="Q98" s="29">
        <v>1.6875000000000001E-2</v>
      </c>
      <c r="R98" s="28"/>
      <c r="S98" s="29">
        <v>1.5820312500000001E-3</v>
      </c>
    </row>
    <row r="99" spans="1:19" x14ac:dyDescent="0.25">
      <c r="A99" s="28">
        <v>3</v>
      </c>
      <c r="B99" s="28" t="s">
        <v>174</v>
      </c>
      <c r="C99" s="28" t="s">
        <v>317</v>
      </c>
      <c r="D99" s="28"/>
      <c r="E99" s="29">
        <v>1.113281E-2</v>
      </c>
      <c r="F99" s="28"/>
      <c r="G99" s="30">
        <v>2.6718739999999999</v>
      </c>
      <c r="H99" s="28"/>
      <c r="I99" s="28">
        <v>1</v>
      </c>
      <c r="J99" s="28" t="s">
        <v>51</v>
      </c>
      <c r="K99" s="29">
        <v>0.85</v>
      </c>
      <c r="L99" s="28" t="s">
        <v>51</v>
      </c>
      <c r="M99" s="29">
        <v>0.05</v>
      </c>
      <c r="N99" s="28" t="s">
        <v>49</v>
      </c>
      <c r="O99" s="29">
        <v>1.113281E-2</v>
      </c>
      <c r="P99" s="28" t="s">
        <v>53</v>
      </c>
      <c r="Q99" s="29">
        <v>8.9062499999999992E-3</v>
      </c>
      <c r="R99" s="28"/>
      <c r="S99" s="29">
        <v>8.3496093749999998E-4</v>
      </c>
    </row>
    <row r="100" spans="1:19" x14ac:dyDescent="0.25">
      <c r="A100" s="28">
        <v>3</v>
      </c>
      <c r="B100" s="28" t="s">
        <v>207</v>
      </c>
      <c r="C100" s="28" t="s">
        <v>318</v>
      </c>
      <c r="D100" s="28"/>
      <c r="E100" s="29">
        <v>4.6874999999999998E-3</v>
      </c>
      <c r="F100" s="28"/>
      <c r="G100" s="30">
        <v>1.125</v>
      </c>
      <c r="H100" s="28"/>
      <c r="I100" s="28">
        <v>1</v>
      </c>
      <c r="J100" s="28" t="s">
        <v>51</v>
      </c>
      <c r="K100" s="29">
        <v>0.85</v>
      </c>
      <c r="L100" s="28" t="s">
        <v>51</v>
      </c>
      <c r="M100" s="29">
        <v>0.05</v>
      </c>
      <c r="N100" s="28" t="s">
        <v>49</v>
      </c>
      <c r="O100" s="29">
        <v>4.6874999999999998E-3</v>
      </c>
      <c r="P100" s="28" t="s">
        <v>53</v>
      </c>
      <c r="Q100" s="29">
        <v>3.7499999999999999E-3</v>
      </c>
      <c r="R100" s="28"/>
      <c r="S100" s="29">
        <v>3.5156249999999999E-4</v>
      </c>
    </row>
    <row r="101" spans="1:19" x14ac:dyDescent="0.25">
      <c r="A101" s="28">
        <v>3</v>
      </c>
      <c r="B101" s="28" t="s">
        <v>316</v>
      </c>
      <c r="C101" s="28"/>
      <c r="D101" s="28"/>
      <c r="E101" s="29">
        <v>0.1875</v>
      </c>
      <c r="F101" s="28"/>
      <c r="G101" s="30">
        <v>45</v>
      </c>
      <c r="H101" s="28"/>
      <c r="I101" s="28">
        <v>1</v>
      </c>
      <c r="J101" s="28" t="s">
        <v>51</v>
      </c>
      <c r="K101" s="29">
        <v>0.85</v>
      </c>
      <c r="L101" s="28" t="s">
        <v>51</v>
      </c>
      <c r="M101" s="29">
        <v>3.3333330000000001E-2</v>
      </c>
      <c r="N101" s="28" t="s">
        <v>49</v>
      </c>
      <c r="O101" s="29">
        <v>0.1875</v>
      </c>
      <c r="P101" s="28" t="s">
        <v>53</v>
      </c>
      <c r="Q101" s="29">
        <v>0.15</v>
      </c>
      <c r="R101" s="28"/>
      <c r="S101" s="29">
        <v>1.40625E-2</v>
      </c>
    </row>
    <row r="102" spans="1:19" x14ac:dyDescent="0.25">
      <c r="A102" s="28">
        <v>3</v>
      </c>
      <c r="B102" s="28" t="s">
        <v>174</v>
      </c>
      <c r="C102" s="28" t="s">
        <v>317</v>
      </c>
      <c r="D102" s="28"/>
      <c r="E102" s="29">
        <v>4.6874999999999998E-3</v>
      </c>
      <c r="F102" s="28"/>
      <c r="G102" s="30">
        <v>1.125</v>
      </c>
      <c r="H102" s="28"/>
      <c r="I102" s="28">
        <v>1</v>
      </c>
      <c r="J102" s="28" t="s">
        <v>51</v>
      </c>
      <c r="K102" s="29">
        <v>0.85</v>
      </c>
      <c r="L102" s="28" t="s">
        <v>51</v>
      </c>
      <c r="M102" s="29">
        <v>0.05</v>
      </c>
      <c r="N102" s="28" t="s">
        <v>49</v>
      </c>
      <c r="O102" s="29">
        <v>4.6874999999999998E-3</v>
      </c>
      <c r="P102" s="28" t="s">
        <v>53</v>
      </c>
      <c r="Q102" s="29">
        <v>3.7499999999999999E-3</v>
      </c>
      <c r="R102" s="28"/>
      <c r="S102" s="29">
        <v>3.5156249999999999E-4</v>
      </c>
    </row>
    <row r="103" spans="1:19" x14ac:dyDescent="0.25">
      <c r="A103" s="28">
        <v>3</v>
      </c>
      <c r="B103" s="28" t="s">
        <v>207</v>
      </c>
      <c r="C103" s="28" t="s">
        <v>318</v>
      </c>
      <c r="D103" s="28"/>
      <c r="E103" s="29">
        <v>6.6796880000000003E-2</v>
      </c>
      <c r="F103" s="28"/>
      <c r="G103" s="30">
        <v>16.031251000000001</v>
      </c>
      <c r="H103" s="28"/>
      <c r="I103" s="28">
        <v>1</v>
      </c>
      <c r="J103" s="28" t="s">
        <v>51</v>
      </c>
      <c r="K103" s="29">
        <v>0.85</v>
      </c>
      <c r="L103" s="28" t="s">
        <v>51</v>
      </c>
      <c r="M103" s="29">
        <v>0.05</v>
      </c>
      <c r="N103" s="28" t="s">
        <v>49</v>
      </c>
      <c r="O103" s="29">
        <v>6.6796880000000003E-2</v>
      </c>
      <c r="P103" s="28" t="s">
        <v>53</v>
      </c>
      <c r="Q103" s="29">
        <v>5.3437499999999999E-2</v>
      </c>
      <c r="R103" s="28"/>
      <c r="S103" s="29">
        <v>5.0097656249999999E-3</v>
      </c>
    </row>
    <row r="104" spans="1:19" x14ac:dyDescent="0.25">
      <c r="A104" s="28">
        <v>3</v>
      </c>
      <c r="B104" s="28" t="s">
        <v>207</v>
      </c>
      <c r="C104" s="28" t="s">
        <v>318</v>
      </c>
      <c r="D104" s="28"/>
      <c r="E104" s="29">
        <v>1.113281E-2</v>
      </c>
      <c r="F104" s="28"/>
      <c r="G104" s="30">
        <v>2.6718739999999999</v>
      </c>
      <c r="H104" s="28"/>
      <c r="I104" s="28">
        <v>1</v>
      </c>
      <c r="J104" s="28" t="s">
        <v>51</v>
      </c>
      <c r="K104" s="29">
        <v>0.85</v>
      </c>
      <c r="L104" s="28" t="s">
        <v>51</v>
      </c>
      <c r="M104" s="29">
        <v>0.05</v>
      </c>
      <c r="N104" s="28" t="s">
        <v>49</v>
      </c>
      <c r="O104" s="29">
        <v>1.113281E-2</v>
      </c>
      <c r="P104" s="28" t="s">
        <v>53</v>
      </c>
      <c r="Q104" s="29">
        <v>8.9062499999999992E-3</v>
      </c>
      <c r="R104" s="28"/>
      <c r="S104" s="29">
        <v>8.3496093749999998E-4</v>
      </c>
    </row>
    <row r="105" spans="1:19" x14ac:dyDescent="0.25">
      <c r="A105" s="28">
        <v>3</v>
      </c>
      <c r="B105" s="28" t="s">
        <v>207</v>
      </c>
      <c r="C105" s="28" t="s">
        <v>318</v>
      </c>
      <c r="D105" s="28"/>
      <c r="E105" s="29">
        <v>3.125E-2</v>
      </c>
      <c r="F105" s="28"/>
      <c r="G105" s="30">
        <v>7.5</v>
      </c>
      <c r="H105" s="28"/>
      <c r="I105" s="28">
        <v>1</v>
      </c>
      <c r="J105" s="28" t="s">
        <v>51</v>
      </c>
      <c r="K105" s="29">
        <v>0.85</v>
      </c>
      <c r="L105" s="28" t="s">
        <v>51</v>
      </c>
      <c r="M105" s="29">
        <v>0.05</v>
      </c>
      <c r="N105" s="28" t="s">
        <v>49</v>
      </c>
      <c r="O105" s="29">
        <v>3.125E-2</v>
      </c>
      <c r="P105" s="28" t="s">
        <v>53</v>
      </c>
      <c r="Q105" s="29">
        <v>2.5000000000000001E-2</v>
      </c>
      <c r="R105" s="28"/>
      <c r="S105" s="29">
        <v>2.3437499999999999E-3</v>
      </c>
    </row>
    <row r="106" spans="1:19" x14ac:dyDescent="0.25">
      <c r="A106" s="28">
        <v>3</v>
      </c>
      <c r="B106" s="28" t="s">
        <v>316</v>
      </c>
      <c r="C106" s="28"/>
      <c r="D106" s="28"/>
      <c r="E106" s="29">
        <v>0.40078124999999998</v>
      </c>
      <c r="F106" s="28"/>
      <c r="G106" s="30">
        <v>96.1875</v>
      </c>
      <c r="H106" s="28"/>
      <c r="I106" s="28">
        <v>1</v>
      </c>
      <c r="J106" s="28" t="s">
        <v>51</v>
      </c>
      <c r="K106" s="29">
        <v>0.85</v>
      </c>
      <c r="L106" s="28" t="s">
        <v>51</v>
      </c>
      <c r="M106" s="29">
        <v>3.3333330000000001E-2</v>
      </c>
      <c r="N106" s="28" t="s">
        <v>49</v>
      </c>
      <c r="O106" s="29">
        <v>0.40078124999999998</v>
      </c>
      <c r="P106" s="28" t="s">
        <v>53</v>
      </c>
      <c r="Q106" s="29">
        <v>0.32062499999999999</v>
      </c>
      <c r="R106" s="28"/>
      <c r="S106" s="29">
        <v>3.0058593750000001E-2</v>
      </c>
    </row>
    <row r="107" spans="1:19" x14ac:dyDescent="0.25">
      <c r="A107" s="28">
        <v>3</v>
      </c>
      <c r="B107" s="28" t="s">
        <v>316</v>
      </c>
      <c r="C107" s="28"/>
      <c r="D107" s="28"/>
      <c r="E107" s="29">
        <v>3.5156300000000001E-3</v>
      </c>
      <c r="F107" s="28"/>
      <c r="G107" s="30">
        <v>0.84375100000000003</v>
      </c>
      <c r="H107" s="28"/>
      <c r="I107" s="28">
        <v>1</v>
      </c>
      <c r="J107" s="28" t="s">
        <v>51</v>
      </c>
      <c r="K107" s="29">
        <v>0.85</v>
      </c>
      <c r="L107" s="28" t="s">
        <v>51</v>
      </c>
      <c r="M107" s="29">
        <v>3.3333330000000001E-2</v>
      </c>
      <c r="N107" s="28" t="s">
        <v>49</v>
      </c>
      <c r="O107" s="29">
        <v>3.5156300000000001E-3</v>
      </c>
      <c r="P107" s="28" t="s">
        <v>53</v>
      </c>
      <c r="Q107" s="29">
        <v>2.8124999999999999E-3</v>
      </c>
      <c r="R107" s="28"/>
      <c r="S107" s="29">
        <v>2.6367187500000002E-4</v>
      </c>
    </row>
    <row r="108" spans="1:19" x14ac:dyDescent="0.25">
      <c r="A108" s="28">
        <v>3</v>
      </c>
      <c r="B108" s="28" t="s">
        <v>174</v>
      </c>
      <c r="C108" s="28" t="s">
        <v>317</v>
      </c>
      <c r="D108" s="28"/>
      <c r="E108" s="29">
        <v>3.125E-2</v>
      </c>
      <c r="F108" s="28"/>
      <c r="G108" s="30">
        <v>7.5</v>
      </c>
      <c r="H108" s="28"/>
      <c r="I108" s="28">
        <v>1</v>
      </c>
      <c r="J108" s="28" t="s">
        <v>51</v>
      </c>
      <c r="K108" s="29">
        <v>0.85</v>
      </c>
      <c r="L108" s="28" t="s">
        <v>51</v>
      </c>
      <c r="M108" s="29">
        <v>0.05</v>
      </c>
      <c r="N108" s="28" t="s">
        <v>49</v>
      </c>
      <c r="O108" s="29">
        <v>3.125E-2</v>
      </c>
      <c r="P108" s="28" t="s">
        <v>53</v>
      </c>
      <c r="Q108" s="29">
        <v>2.5000000000000001E-2</v>
      </c>
      <c r="R108" s="28"/>
      <c r="S108" s="29">
        <v>2.3437499999999999E-3</v>
      </c>
    </row>
    <row r="109" spans="1:19" x14ac:dyDescent="0.25">
      <c r="A109" s="28">
        <v>4</v>
      </c>
      <c r="B109" s="28" t="s">
        <v>199</v>
      </c>
      <c r="C109" s="28"/>
      <c r="D109" s="28"/>
      <c r="E109" s="29">
        <v>4.6874999999999998E-3</v>
      </c>
      <c r="F109" s="28"/>
      <c r="G109" s="30">
        <v>0.375</v>
      </c>
      <c r="H109" s="28"/>
      <c r="I109" s="28">
        <v>1</v>
      </c>
      <c r="J109" s="28" t="s">
        <v>51</v>
      </c>
      <c r="K109" s="29">
        <v>0.83333332999999998</v>
      </c>
      <c r="L109" s="28" t="s">
        <v>51</v>
      </c>
      <c r="M109" s="29">
        <v>3.3333330000000001E-2</v>
      </c>
      <c r="N109" s="28" t="s">
        <v>49</v>
      </c>
      <c r="O109" s="29">
        <v>4.6874999999999998E-3</v>
      </c>
      <c r="P109" s="28" t="s">
        <v>53</v>
      </c>
      <c r="Q109" s="29">
        <v>3.7499999999999999E-3</v>
      </c>
      <c r="R109" s="28"/>
      <c r="S109" s="29">
        <v>1.171875E-4</v>
      </c>
    </row>
    <row r="110" spans="1:19" x14ac:dyDescent="0.25">
      <c r="A110" s="28">
        <v>4</v>
      </c>
      <c r="B110" s="28" t="s">
        <v>199</v>
      </c>
      <c r="C110" s="28"/>
      <c r="D110" s="28"/>
      <c r="E110" s="29">
        <v>2.8125000000000001E-2</v>
      </c>
      <c r="F110" s="28"/>
      <c r="G110" s="30">
        <v>2.25</v>
      </c>
      <c r="H110" s="28"/>
      <c r="I110" s="28">
        <v>1</v>
      </c>
      <c r="J110" s="28" t="s">
        <v>51</v>
      </c>
      <c r="K110" s="29">
        <v>0.83333332999999998</v>
      </c>
      <c r="L110" s="28" t="s">
        <v>51</v>
      </c>
      <c r="M110" s="29">
        <v>3.3333330000000001E-2</v>
      </c>
      <c r="N110" s="28" t="s">
        <v>49</v>
      </c>
      <c r="O110" s="29">
        <v>2.8125000000000001E-2</v>
      </c>
      <c r="P110" s="28" t="s">
        <v>53</v>
      </c>
      <c r="Q110" s="29">
        <v>2.2499999999999999E-2</v>
      </c>
      <c r="R110" s="28"/>
      <c r="S110" s="29">
        <v>7.0312499999999997E-4</v>
      </c>
    </row>
    <row r="111" spans="1:19" x14ac:dyDescent="0.25">
      <c r="A111" s="28">
        <v>4</v>
      </c>
      <c r="B111" s="28" t="s">
        <v>199</v>
      </c>
      <c r="C111" s="28"/>
      <c r="D111" s="28"/>
      <c r="E111" s="29">
        <v>0.25</v>
      </c>
      <c r="F111" s="28"/>
      <c r="G111" s="30">
        <v>20</v>
      </c>
      <c r="H111" s="28"/>
      <c r="I111" s="28">
        <v>1</v>
      </c>
      <c r="J111" s="28" t="s">
        <v>51</v>
      </c>
      <c r="K111" s="29">
        <v>0.83333332999999998</v>
      </c>
      <c r="L111" s="28" t="s">
        <v>51</v>
      </c>
      <c r="M111" s="29">
        <v>3.3333330000000001E-2</v>
      </c>
      <c r="N111" s="28" t="s">
        <v>49</v>
      </c>
      <c r="O111" s="29">
        <v>0.25</v>
      </c>
      <c r="P111" s="28" t="s">
        <v>53</v>
      </c>
      <c r="Q111" s="29">
        <v>0.2</v>
      </c>
      <c r="R111" s="28"/>
      <c r="S111" s="29">
        <v>6.2500000000000003E-3</v>
      </c>
    </row>
    <row r="112" spans="1:19" x14ac:dyDescent="0.25">
      <c r="A112" s="28">
        <v>4</v>
      </c>
      <c r="B112" s="28" t="s">
        <v>199</v>
      </c>
      <c r="C112" s="28"/>
      <c r="D112" s="28"/>
      <c r="E112" s="29">
        <v>0.53437500000000004</v>
      </c>
      <c r="F112" s="28"/>
      <c r="G112" s="30">
        <v>42.75</v>
      </c>
      <c r="H112" s="28"/>
      <c r="I112" s="28">
        <v>1</v>
      </c>
      <c r="J112" s="28" t="s">
        <v>51</v>
      </c>
      <c r="K112" s="29">
        <v>0.83333332999999998</v>
      </c>
      <c r="L112" s="28" t="s">
        <v>51</v>
      </c>
      <c r="M112" s="29">
        <v>3.3333330000000001E-2</v>
      </c>
      <c r="N112" s="28" t="s">
        <v>49</v>
      </c>
      <c r="O112" s="29">
        <v>0.53437500000000004</v>
      </c>
      <c r="P112" s="28" t="s">
        <v>53</v>
      </c>
      <c r="Q112" s="29">
        <v>0.42749999999999999</v>
      </c>
      <c r="R112" s="28"/>
      <c r="S112" s="29">
        <v>1.3359375E-2</v>
      </c>
    </row>
    <row r="113" spans="1:19" x14ac:dyDescent="0.25">
      <c r="A113" s="28">
        <v>4</v>
      </c>
      <c r="B113" s="28" t="s">
        <v>199</v>
      </c>
      <c r="C113" s="28"/>
      <c r="D113" s="28"/>
      <c r="E113" s="29">
        <v>8.9062500000000003E-2</v>
      </c>
      <c r="F113" s="28"/>
      <c r="G113" s="30">
        <v>7.125</v>
      </c>
      <c r="H113" s="28"/>
      <c r="I113" s="28">
        <v>1</v>
      </c>
      <c r="J113" s="28" t="s">
        <v>51</v>
      </c>
      <c r="K113" s="29">
        <v>0.83333332999999998</v>
      </c>
      <c r="L113" s="28" t="s">
        <v>51</v>
      </c>
      <c r="M113" s="29">
        <v>3.3333330000000001E-2</v>
      </c>
      <c r="N113" s="28" t="s">
        <v>49</v>
      </c>
      <c r="O113" s="29">
        <v>8.9062500000000003E-2</v>
      </c>
      <c r="P113" s="28" t="s">
        <v>53</v>
      </c>
      <c r="Q113" s="29">
        <v>7.1249999999999994E-2</v>
      </c>
      <c r="R113" s="28"/>
      <c r="S113" s="29">
        <v>2.2265624999999998E-3</v>
      </c>
    </row>
    <row r="114" spans="1:19" x14ac:dyDescent="0.25">
      <c r="A114" s="28">
        <v>14</v>
      </c>
      <c r="B114" s="28" t="s">
        <v>140</v>
      </c>
      <c r="C114" s="28"/>
      <c r="D114" s="28"/>
      <c r="E114" s="29">
        <v>0.20749999999999999</v>
      </c>
      <c r="F114" s="28"/>
      <c r="G114" s="30">
        <v>49.8</v>
      </c>
      <c r="H114" s="28"/>
      <c r="I114" s="28">
        <v>1</v>
      </c>
      <c r="J114" s="28" t="s">
        <v>51</v>
      </c>
      <c r="K114" s="29">
        <v>0.85</v>
      </c>
      <c r="L114" s="28" t="s">
        <v>51</v>
      </c>
      <c r="M114" s="29">
        <v>0.05</v>
      </c>
      <c r="N114" s="28" t="s">
        <v>49</v>
      </c>
      <c r="O114" s="29">
        <v>0.20749999999999999</v>
      </c>
      <c r="P114" s="28" t="s">
        <v>53</v>
      </c>
      <c r="Q114" s="29">
        <v>0.16600000000000001</v>
      </c>
      <c r="R114" s="28"/>
      <c r="S114" s="29">
        <v>1.55625E-2</v>
      </c>
    </row>
    <row r="115" spans="1:19" x14ac:dyDescent="0.25">
      <c r="A115" s="28">
        <v>15</v>
      </c>
      <c r="B115" s="28" t="s">
        <v>227</v>
      </c>
      <c r="C115" s="28"/>
      <c r="D115" s="28"/>
      <c r="E115" s="29">
        <v>0.20749999999999999</v>
      </c>
      <c r="F115" s="28"/>
      <c r="G115" s="30">
        <v>8.3000000000000007</v>
      </c>
      <c r="H115" s="28"/>
      <c r="I115" s="28">
        <v>1</v>
      </c>
      <c r="J115" s="28" t="s">
        <v>51</v>
      </c>
      <c r="K115" s="29">
        <v>0.85</v>
      </c>
      <c r="L115" s="28" t="s">
        <v>51</v>
      </c>
      <c r="M115" s="29">
        <v>0.05</v>
      </c>
      <c r="N115" s="28" t="s">
        <v>49</v>
      </c>
      <c r="O115" s="29">
        <v>0.20749999999999999</v>
      </c>
      <c r="P115" s="28" t="s">
        <v>53</v>
      </c>
      <c r="Q115" s="29">
        <v>0.16600000000000001</v>
      </c>
      <c r="R115" s="28"/>
      <c r="S115" s="29">
        <v>2.5937500000000001E-3</v>
      </c>
    </row>
    <row r="116" spans="1:19" x14ac:dyDescent="0.25">
      <c r="A116" s="28">
        <v>16</v>
      </c>
      <c r="B116" s="28" t="s">
        <v>238</v>
      </c>
      <c r="C116" s="28"/>
      <c r="D116" s="28"/>
      <c r="E116" s="29">
        <v>0.12104166</v>
      </c>
      <c r="F116" s="28"/>
      <c r="G116" s="30">
        <v>14.525</v>
      </c>
      <c r="H116" s="28"/>
      <c r="I116" s="28">
        <v>1</v>
      </c>
      <c r="J116" s="28" t="s">
        <v>51</v>
      </c>
      <c r="K116" s="29">
        <v>0.85714285999999995</v>
      </c>
      <c r="L116" s="28" t="s">
        <v>51</v>
      </c>
      <c r="M116" s="29">
        <v>5.7142859999999997E-2</v>
      </c>
      <c r="N116" s="28" t="s">
        <v>49</v>
      </c>
      <c r="O116" s="29">
        <v>0.12104166</v>
      </c>
      <c r="P116" s="28" t="s">
        <v>53</v>
      </c>
      <c r="Q116" s="29">
        <v>9.6833320000000001E-2</v>
      </c>
      <c r="R116" s="28"/>
      <c r="S116" s="29">
        <v>4.539061875E-3</v>
      </c>
    </row>
    <row r="117" spans="1:19" x14ac:dyDescent="0.25">
      <c r="A117" s="28">
        <v>16</v>
      </c>
      <c r="B117" s="28" t="s">
        <v>60</v>
      </c>
      <c r="C117" s="28"/>
      <c r="D117" s="28"/>
      <c r="E117" s="29">
        <v>1.7291669999999999E-2</v>
      </c>
      <c r="F117" s="28"/>
      <c r="G117" s="30">
        <v>2.0750000000000002</v>
      </c>
      <c r="H117" s="28"/>
      <c r="I117" s="28">
        <v>1</v>
      </c>
      <c r="J117" s="28" t="s">
        <v>51</v>
      </c>
      <c r="K117" s="29">
        <v>0.85</v>
      </c>
      <c r="L117" s="28" t="s">
        <v>51</v>
      </c>
      <c r="M117" s="29">
        <v>0.05</v>
      </c>
      <c r="N117" s="28" t="s">
        <v>49</v>
      </c>
      <c r="O117" s="29">
        <v>1.7291669999999999E-2</v>
      </c>
      <c r="P117" s="28" t="s">
        <v>53</v>
      </c>
      <c r="Q117" s="29">
        <v>1.383334E-2</v>
      </c>
      <c r="R117" s="28"/>
      <c r="S117" s="29">
        <v>6.4843781249999998E-4</v>
      </c>
    </row>
    <row r="118" spans="1:19" x14ac:dyDescent="0.25">
      <c r="A118" s="28">
        <v>16</v>
      </c>
      <c r="B118" s="28" t="s">
        <v>228</v>
      </c>
      <c r="C118" s="28"/>
      <c r="D118" s="28"/>
      <c r="E118" s="29">
        <v>6.916667E-2</v>
      </c>
      <c r="F118" s="28"/>
      <c r="G118" s="30">
        <v>8.3000000000000007</v>
      </c>
      <c r="H118" s="28"/>
      <c r="I118" s="28">
        <v>1</v>
      </c>
      <c r="J118" s="28" t="s">
        <v>51</v>
      </c>
      <c r="K118" s="29">
        <v>0.85714285999999995</v>
      </c>
      <c r="L118" s="28" t="s">
        <v>51</v>
      </c>
      <c r="M118" s="29">
        <v>0.05</v>
      </c>
      <c r="N118" s="28" t="s">
        <v>49</v>
      </c>
      <c r="O118" s="29">
        <v>6.916667E-2</v>
      </c>
      <c r="P118" s="28" t="s">
        <v>53</v>
      </c>
      <c r="Q118" s="29">
        <v>5.5333340000000002E-2</v>
      </c>
      <c r="R118" s="28"/>
      <c r="S118" s="29">
        <v>2.5937503125E-3</v>
      </c>
    </row>
    <row r="119" spans="1:19" x14ac:dyDescent="0.25">
      <c r="A119" s="28">
        <v>17</v>
      </c>
      <c r="B119" s="28" t="s">
        <v>9</v>
      </c>
      <c r="C119" s="28"/>
      <c r="D119" s="28"/>
      <c r="E119" s="29">
        <v>0.20749999999999999</v>
      </c>
      <c r="F119" s="28"/>
      <c r="G119" s="30">
        <v>49.8</v>
      </c>
      <c r="H119" s="28"/>
      <c r="I119" s="28">
        <v>1</v>
      </c>
      <c r="J119" s="28" t="s">
        <v>51</v>
      </c>
      <c r="K119" s="29">
        <v>0.85</v>
      </c>
      <c r="L119" s="28" t="s">
        <v>51</v>
      </c>
      <c r="M119" s="29">
        <v>0.05</v>
      </c>
      <c r="N119" s="28" t="s">
        <v>49</v>
      </c>
      <c r="O119" s="29">
        <v>0.20749999999999999</v>
      </c>
      <c r="P119" s="28" t="s">
        <v>53</v>
      </c>
      <c r="Q119" s="29">
        <v>0.16600000000000001</v>
      </c>
      <c r="R119" s="28"/>
      <c r="S119" s="29">
        <v>1.55625E-2</v>
      </c>
    </row>
    <row r="120" spans="1:19" x14ac:dyDescent="0.25">
      <c r="A120" s="28">
        <v>18</v>
      </c>
      <c r="B120" s="28" t="s">
        <v>229</v>
      </c>
      <c r="C120" s="28"/>
      <c r="D120" s="28"/>
      <c r="E120" s="29">
        <v>0.20749999999999999</v>
      </c>
      <c r="F120" s="28"/>
      <c r="G120" s="30">
        <v>66.400000000000006</v>
      </c>
      <c r="H120" s="28"/>
      <c r="I120" s="28">
        <v>1</v>
      </c>
      <c r="J120" s="28" t="s">
        <v>51</v>
      </c>
      <c r="K120" s="29">
        <v>0.85</v>
      </c>
      <c r="L120" s="28" t="s">
        <v>51</v>
      </c>
      <c r="M120" s="29">
        <v>0.05</v>
      </c>
      <c r="N120" s="28" t="s">
        <v>49</v>
      </c>
      <c r="O120" s="29">
        <v>0.20749999999999999</v>
      </c>
      <c r="P120" s="28" t="s">
        <v>53</v>
      </c>
      <c r="Q120" s="29">
        <v>0.16600000000000001</v>
      </c>
      <c r="R120" s="28"/>
      <c r="S120" s="29">
        <v>2.0750000000000001E-2</v>
      </c>
    </row>
    <row r="121" spans="1:19" x14ac:dyDescent="0.25">
      <c r="A121" s="28">
        <v>19</v>
      </c>
      <c r="B121" s="28" t="s">
        <v>216</v>
      </c>
      <c r="C121" s="28"/>
      <c r="D121" s="28"/>
      <c r="E121" s="29">
        <v>0.20749999999999999</v>
      </c>
      <c r="F121" s="28"/>
      <c r="G121" s="30">
        <v>33.200000000000003</v>
      </c>
      <c r="H121" s="28"/>
      <c r="I121" s="28">
        <v>1</v>
      </c>
      <c r="J121" s="28" t="s">
        <v>51</v>
      </c>
      <c r="K121" s="29">
        <v>0.83333332999999998</v>
      </c>
      <c r="L121" s="28" t="s">
        <v>51</v>
      </c>
      <c r="M121" s="29">
        <v>3.3333330000000001E-2</v>
      </c>
      <c r="N121" s="28" t="s">
        <v>49</v>
      </c>
      <c r="O121" s="29">
        <v>0.20749999999999999</v>
      </c>
      <c r="P121" s="28" t="s">
        <v>53</v>
      </c>
      <c r="Q121" s="29">
        <v>0.16600000000000001</v>
      </c>
      <c r="R121" s="28"/>
      <c r="S121" s="29">
        <v>1.0375000000000001E-2</v>
      </c>
    </row>
    <row r="122" spans="1:19" x14ac:dyDescent="0.25">
      <c r="A122" s="28">
        <v>20</v>
      </c>
      <c r="B122" s="28" t="s">
        <v>230</v>
      </c>
      <c r="C122" s="28"/>
      <c r="D122" s="28"/>
      <c r="E122" s="29">
        <v>0.20749999999999999</v>
      </c>
      <c r="F122" s="28"/>
      <c r="G122" s="30">
        <v>33.200000000000003</v>
      </c>
      <c r="H122" s="28"/>
      <c r="I122" s="28">
        <v>1</v>
      </c>
      <c r="J122" s="28" t="s">
        <v>51</v>
      </c>
      <c r="K122" s="29">
        <v>0.85</v>
      </c>
      <c r="L122" s="28" t="s">
        <v>51</v>
      </c>
      <c r="M122" s="29">
        <v>0.05</v>
      </c>
      <c r="N122" s="28" t="s">
        <v>49</v>
      </c>
      <c r="O122" s="29">
        <v>0.20749999999999999</v>
      </c>
      <c r="P122" s="28" t="s">
        <v>53</v>
      </c>
      <c r="Q122" s="29">
        <v>0.16600000000000001</v>
      </c>
      <c r="R122" s="28"/>
      <c r="S122" s="29">
        <v>1.0375000000000001E-2</v>
      </c>
    </row>
    <row r="123" spans="1:19" x14ac:dyDescent="0.25">
      <c r="A123" s="28">
        <v>28</v>
      </c>
      <c r="B123" s="28" t="s">
        <v>117</v>
      </c>
      <c r="C123" s="28"/>
      <c r="D123" s="28"/>
      <c r="E123" s="29">
        <v>0.75</v>
      </c>
      <c r="F123" s="28"/>
      <c r="G123" s="30">
        <v>360</v>
      </c>
      <c r="H123" s="28"/>
      <c r="I123" s="28">
        <v>1</v>
      </c>
      <c r="J123" s="28" t="s">
        <v>51</v>
      </c>
      <c r="K123" s="29">
        <v>0.83333332999999998</v>
      </c>
      <c r="L123" s="28" t="s">
        <v>51</v>
      </c>
      <c r="M123" s="29">
        <v>3.3333330000000001E-2</v>
      </c>
      <c r="N123" s="28" t="s">
        <v>49</v>
      </c>
      <c r="O123" s="29">
        <v>0.75</v>
      </c>
      <c r="P123" s="28" t="s">
        <v>53</v>
      </c>
      <c r="Q123" s="29">
        <v>0.6</v>
      </c>
      <c r="R123" s="28"/>
      <c r="S123" s="29">
        <v>0.1125</v>
      </c>
    </row>
    <row r="124" spans="1:19" x14ac:dyDescent="0.25">
      <c r="A124" s="28">
        <v>29</v>
      </c>
      <c r="B124" s="28" t="s">
        <v>192</v>
      </c>
      <c r="C124" s="28"/>
      <c r="D124" s="28"/>
      <c r="E124" s="29">
        <v>0.4375</v>
      </c>
      <c r="F124" s="28"/>
      <c r="G124" s="30">
        <v>70</v>
      </c>
      <c r="H124" s="28"/>
      <c r="I124" s="28">
        <v>1</v>
      </c>
      <c r="J124" s="28" t="s">
        <v>51</v>
      </c>
      <c r="K124" s="29">
        <v>0.8125</v>
      </c>
      <c r="L124" s="28" t="s">
        <v>51</v>
      </c>
      <c r="M124" s="29">
        <v>1.5625000000000001E-3</v>
      </c>
      <c r="N124" s="28" t="s">
        <v>49</v>
      </c>
      <c r="O124" s="29">
        <v>0.4375</v>
      </c>
      <c r="P124" s="28" t="s">
        <v>53</v>
      </c>
      <c r="Q124" s="29">
        <v>0.35478515999999999</v>
      </c>
      <c r="R124" s="28"/>
      <c r="S124" s="29">
        <v>2.2174072499999999E-2</v>
      </c>
    </row>
    <row r="125" spans="1:19" x14ac:dyDescent="0.25">
      <c r="A125" s="18">
        <v>29</v>
      </c>
      <c r="B125" s="18" t="s">
        <v>103</v>
      </c>
      <c r="C125" s="18"/>
      <c r="D125" s="18"/>
      <c r="E125" s="19">
        <v>0.4375</v>
      </c>
      <c r="F125" s="18"/>
      <c r="G125" s="20">
        <v>70</v>
      </c>
      <c r="H125" s="18"/>
      <c r="I125" s="18">
        <v>1</v>
      </c>
      <c r="J125" s="18" t="s">
        <v>51</v>
      </c>
      <c r="K125" s="19">
        <v>0.8125</v>
      </c>
      <c r="L125" s="18" t="s">
        <v>51</v>
      </c>
      <c r="M125" s="19">
        <v>1.5625000000000001E-3</v>
      </c>
      <c r="N125" s="18" t="s">
        <v>49</v>
      </c>
      <c r="O125" s="19">
        <v>0.4375</v>
      </c>
      <c r="P125" s="18" t="s">
        <v>53</v>
      </c>
      <c r="Q125" s="19">
        <v>0.35478515999999999</v>
      </c>
      <c r="R125" s="18"/>
      <c r="S125" s="19">
        <v>2.2174072499999999E-2</v>
      </c>
    </row>
    <row r="126" spans="1:19" x14ac:dyDescent="0.25">
      <c r="A126" s="21" t="s">
        <v>61</v>
      </c>
      <c r="B126" s="21"/>
      <c r="C126" s="21"/>
      <c r="D126" s="21"/>
      <c r="E126" s="21"/>
      <c r="F126" s="21"/>
      <c r="G126" s="22">
        <v>1237.5900449999999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3">
        <v>0.38734503220703131</v>
      </c>
    </row>
    <row r="128" spans="1:19" x14ac:dyDescent="0.25">
      <c r="A128" s="26" t="s">
        <v>57</v>
      </c>
      <c r="B128" s="44" t="s">
        <v>323</v>
      </c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6"/>
    </row>
    <row r="129" spans="1:19" x14ac:dyDescent="0.25">
      <c r="A129" s="27" t="s">
        <v>214</v>
      </c>
      <c r="B129" s="41" t="s">
        <v>68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3"/>
    </row>
    <row r="131" spans="1:19" x14ac:dyDescent="0.25">
      <c r="A131" s="18">
        <v>2</v>
      </c>
      <c r="B131" s="18" t="s">
        <v>125</v>
      </c>
      <c r="C131" s="18" t="s">
        <v>35</v>
      </c>
      <c r="D131" s="18"/>
      <c r="E131" s="19">
        <v>0.1</v>
      </c>
      <c r="F131" s="18"/>
      <c r="G131" s="20">
        <v>31.864999999999998</v>
      </c>
      <c r="H131" s="18"/>
      <c r="I131" s="18">
        <v>1</v>
      </c>
      <c r="J131" s="18" t="s">
        <v>51</v>
      </c>
      <c r="K131" s="19">
        <v>0.85</v>
      </c>
      <c r="L131" s="18" t="s">
        <v>51</v>
      </c>
      <c r="M131" s="19">
        <v>0.03</v>
      </c>
      <c r="N131" s="18" t="s">
        <v>49</v>
      </c>
      <c r="O131" s="19">
        <v>0.1</v>
      </c>
      <c r="P131" s="18" t="s">
        <v>53</v>
      </c>
      <c r="Q131" s="19">
        <v>8.2000000000000003E-2</v>
      </c>
      <c r="R131" s="18"/>
      <c r="S131" s="19">
        <v>1.02067578125E-2</v>
      </c>
    </row>
    <row r="132" spans="1:19" x14ac:dyDescent="0.25">
      <c r="A132" s="21" t="s">
        <v>61</v>
      </c>
      <c r="B132" s="21"/>
      <c r="C132" s="21"/>
      <c r="D132" s="21"/>
      <c r="E132" s="21"/>
      <c r="F132" s="21"/>
      <c r="G132" s="22">
        <v>31.864999999999998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3">
        <v>1.02067578125E-2</v>
      </c>
    </row>
    <row r="134" spans="1:19" x14ac:dyDescent="0.25">
      <c r="A134" s="26" t="s">
        <v>57</v>
      </c>
      <c r="B134" s="44" t="s">
        <v>324</v>
      </c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6"/>
    </row>
    <row r="135" spans="1:19" x14ac:dyDescent="0.25">
      <c r="A135" s="27" t="s">
        <v>214</v>
      </c>
      <c r="B135" s="41" t="s">
        <v>325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3"/>
    </row>
    <row r="137" spans="1:19" x14ac:dyDescent="0.25">
      <c r="A137" s="28">
        <v>2</v>
      </c>
      <c r="B137" s="28" t="s">
        <v>31</v>
      </c>
      <c r="C137" s="28"/>
      <c r="D137" s="28"/>
      <c r="E137" s="29">
        <v>4.4999999999999998E-2</v>
      </c>
      <c r="F137" s="28"/>
      <c r="G137" s="30">
        <v>14.33925</v>
      </c>
      <c r="H137" s="28"/>
      <c r="I137" s="28">
        <v>1</v>
      </c>
      <c r="J137" s="28" t="s">
        <v>51</v>
      </c>
      <c r="K137" s="29">
        <v>0.83333332999999998</v>
      </c>
      <c r="L137" s="28" t="s">
        <v>51</v>
      </c>
      <c r="M137" s="29">
        <v>3.3333500000000002E-2</v>
      </c>
      <c r="N137" s="28" t="s">
        <v>49</v>
      </c>
      <c r="O137" s="29">
        <v>4.4999999999999998E-2</v>
      </c>
      <c r="P137" s="28" t="s">
        <v>53</v>
      </c>
      <c r="Q137" s="29">
        <v>3.5999990000000003E-2</v>
      </c>
      <c r="R137" s="28"/>
      <c r="S137" s="29">
        <v>4.4810143802734379E-3</v>
      </c>
    </row>
    <row r="138" spans="1:19" x14ac:dyDescent="0.25">
      <c r="A138" s="18">
        <v>2</v>
      </c>
      <c r="B138" s="18" t="s">
        <v>235</v>
      </c>
      <c r="C138" s="18"/>
      <c r="D138" s="18"/>
      <c r="E138" s="19">
        <v>0.12</v>
      </c>
      <c r="F138" s="18"/>
      <c r="G138" s="20">
        <v>38.238</v>
      </c>
      <c r="H138" s="18"/>
      <c r="I138" s="18">
        <v>1</v>
      </c>
      <c r="J138" s="18" t="s">
        <v>51</v>
      </c>
      <c r="K138" s="19">
        <v>0.83333332999999998</v>
      </c>
      <c r="L138" s="18" t="s">
        <v>51</v>
      </c>
      <c r="M138" s="19">
        <v>3.3333309999999998E-2</v>
      </c>
      <c r="N138" s="18" t="s">
        <v>49</v>
      </c>
      <c r="O138" s="19">
        <v>0.12</v>
      </c>
      <c r="P138" s="18" t="s">
        <v>53</v>
      </c>
      <c r="Q138" s="19">
        <v>9.35E-2</v>
      </c>
      <c r="R138" s="18"/>
      <c r="S138" s="19">
        <v>1.1638193359375E-2</v>
      </c>
    </row>
    <row r="139" spans="1:19" x14ac:dyDescent="0.25">
      <c r="A139" s="21" t="s">
        <v>61</v>
      </c>
      <c r="B139" s="21"/>
      <c r="C139" s="21"/>
      <c r="D139" s="21"/>
      <c r="E139" s="21"/>
      <c r="F139" s="21"/>
      <c r="G139" s="22">
        <v>52.577249999999999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3">
        <v>1.611920773964844E-2</v>
      </c>
    </row>
    <row r="141" spans="1:19" x14ac:dyDescent="0.25">
      <c r="A141" s="26" t="s">
        <v>57</v>
      </c>
      <c r="B141" s="44" t="s">
        <v>326</v>
      </c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6"/>
    </row>
    <row r="142" spans="1:19" x14ac:dyDescent="0.25">
      <c r="A142" s="27" t="s">
        <v>214</v>
      </c>
      <c r="B142" s="41" t="s">
        <v>68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3"/>
    </row>
    <row r="144" spans="1:19" x14ac:dyDescent="0.25">
      <c r="A144" s="28">
        <v>2</v>
      </c>
      <c r="B144" s="28" t="s">
        <v>31</v>
      </c>
      <c r="C144" s="28"/>
      <c r="D144" s="28"/>
      <c r="E144" s="29">
        <v>0.03</v>
      </c>
      <c r="F144" s="28"/>
      <c r="G144" s="30">
        <v>9.5594999999999999</v>
      </c>
      <c r="H144" s="28"/>
      <c r="I144" s="28">
        <v>1</v>
      </c>
      <c r="J144" s="28" t="s">
        <v>51</v>
      </c>
      <c r="K144" s="29">
        <v>0.83333332999999998</v>
      </c>
      <c r="L144" s="28" t="s">
        <v>51</v>
      </c>
      <c r="M144" s="29">
        <v>3.3333500000000002E-2</v>
      </c>
      <c r="N144" s="28" t="s">
        <v>49</v>
      </c>
      <c r="O144" s="29">
        <v>0.03</v>
      </c>
      <c r="P144" s="28" t="s">
        <v>53</v>
      </c>
      <c r="Q144" s="29">
        <v>2.3999989999999999E-2</v>
      </c>
      <c r="R144" s="28"/>
      <c r="S144" s="29">
        <v>2.9873425052734368E-3</v>
      </c>
    </row>
    <row r="145" spans="1:19" x14ac:dyDescent="0.25">
      <c r="A145" s="18">
        <v>2</v>
      </c>
      <c r="B145" s="18" t="s">
        <v>235</v>
      </c>
      <c r="C145" s="18"/>
      <c r="D145" s="18"/>
      <c r="E145" s="19">
        <v>0.08</v>
      </c>
      <c r="F145" s="18"/>
      <c r="G145" s="20">
        <v>25.492000000000001</v>
      </c>
      <c r="H145" s="18"/>
      <c r="I145" s="18">
        <v>1</v>
      </c>
      <c r="J145" s="18" t="s">
        <v>51</v>
      </c>
      <c r="K145" s="19">
        <v>0.83333332999999998</v>
      </c>
      <c r="L145" s="18" t="s">
        <v>51</v>
      </c>
      <c r="M145" s="19">
        <v>3.3333309999999998E-2</v>
      </c>
      <c r="N145" s="18" t="s">
        <v>49</v>
      </c>
      <c r="O145" s="19">
        <v>0.08</v>
      </c>
      <c r="P145" s="18" t="s">
        <v>53</v>
      </c>
      <c r="Q145" s="19">
        <v>6.2333340000000001E-2</v>
      </c>
      <c r="R145" s="18"/>
      <c r="S145" s="19">
        <v>7.7587964027343746E-3</v>
      </c>
    </row>
    <row r="146" spans="1:19" x14ac:dyDescent="0.25">
      <c r="A146" s="21" t="s">
        <v>61</v>
      </c>
      <c r="B146" s="21"/>
      <c r="C146" s="21"/>
      <c r="D146" s="21"/>
      <c r="E146" s="21"/>
      <c r="F146" s="21"/>
      <c r="G146" s="22">
        <v>35.051499999999997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3">
        <v>1.074613890800781E-2</v>
      </c>
    </row>
    <row r="148" spans="1:19" x14ac:dyDescent="0.25">
      <c r="A148" s="26" t="s">
        <v>57</v>
      </c>
      <c r="B148" s="44" t="s">
        <v>296</v>
      </c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6"/>
    </row>
    <row r="149" spans="1:19" x14ac:dyDescent="0.25">
      <c r="A149" s="27" t="s">
        <v>214</v>
      </c>
      <c r="B149" s="41" t="s">
        <v>297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3"/>
    </row>
    <row r="151" spans="1:19" x14ac:dyDescent="0.25">
      <c r="A151" s="28">
        <v>14</v>
      </c>
      <c r="B151" s="28" t="s">
        <v>140</v>
      </c>
      <c r="C151" s="28"/>
      <c r="D151" s="28"/>
      <c r="E151" s="29">
        <v>0.2555</v>
      </c>
      <c r="F151" s="28"/>
      <c r="G151" s="30">
        <v>61.32</v>
      </c>
      <c r="H151" s="28"/>
      <c r="I151" s="28">
        <v>1</v>
      </c>
      <c r="J151" s="28" t="s">
        <v>51</v>
      </c>
      <c r="K151" s="29">
        <v>0.85</v>
      </c>
      <c r="L151" s="28" t="s">
        <v>51</v>
      </c>
      <c r="M151" s="29">
        <v>0.05</v>
      </c>
      <c r="N151" s="28" t="s">
        <v>49</v>
      </c>
      <c r="O151" s="29">
        <v>0.2555</v>
      </c>
      <c r="P151" s="28" t="s">
        <v>53</v>
      </c>
      <c r="Q151" s="29">
        <v>0.2044</v>
      </c>
      <c r="R151" s="28"/>
      <c r="S151" s="29">
        <v>1.9162499999999999E-2</v>
      </c>
    </row>
    <row r="152" spans="1:19" x14ac:dyDescent="0.25">
      <c r="A152" s="28">
        <v>15</v>
      </c>
      <c r="B152" s="28" t="s">
        <v>227</v>
      </c>
      <c r="C152" s="28"/>
      <c r="D152" s="28"/>
      <c r="E152" s="29">
        <v>0.2555</v>
      </c>
      <c r="F152" s="28"/>
      <c r="G152" s="30">
        <v>10.220000000000001</v>
      </c>
      <c r="H152" s="28"/>
      <c r="I152" s="28">
        <v>1</v>
      </c>
      <c r="J152" s="28" t="s">
        <v>51</v>
      </c>
      <c r="K152" s="29">
        <v>0.85</v>
      </c>
      <c r="L152" s="28" t="s">
        <v>51</v>
      </c>
      <c r="M152" s="29">
        <v>0.05</v>
      </c>
      <c r="N152" s="28" t="s">
        <v>49</v>
      </c>
      <c r="O152" s="29">
        <v>0.2555</v>
      </c>
      <c r="P152" s="28" t="s">
        <v>53</v>
      </c>
      <c r="Q152" s="29">
        <v>0.2044</v>
      </c>
      <c r="R152" s="28"/>
      <c r="S152" s="29">
        <v>3.19375E-3</v>
      </c>
    </row>
    <row r="153" spans="1:19" x14ac:dyDescent="0.25">
      <c r="A153" s="28">
        <v>16</v>
      </c>
      <c r="B153" s="28" t="s">
        <v>238</v>
      </c>
      <c r="C153" s="28"/>
      <c r="D153" s="28"/>
      <c r="E153" s="29">
        <v>0.14904165999999999</v>
      </c>
      <c r="F153" s="28"/>
      <c r="G153" s="30">
        <v>17.885000000000002</v>
      </c>
      <c r="H153" s="28"/>
      <c r="I153" s="28">
        <v>1</v>
      </c>
      <c r="J153" s="28" t="s">
        <v>51</v>
      </c>
      <c r="K153" s="29">
        <v>0.85714285999999995</v>
      </c>
      <c r="L153" s="28" t="s">
        <v>51</v>
      </c>
      <c r="M153" s="29">
        <v>5.7142859999999997E-2</v>
      </c>
      <c r="N153" s="28" t="s">
        <v>49</v>
      </c>
      <c r="O153" s="29">
        <v>0.14904165999999999</v>
      </c>
      <c r="P153" s="28" t="s">
        <v>53</v>
      </c>
      <c r="Q153" s="29">
        <v>0.11923332</v>
      </c>
      <c r="R153" s="28"/>
      <c r="S153" s="29">
        <v>5.5890618750000006E-3</v>
      </c>
    </row>
    <row r="154" spans="1:19" x14ac:dyDescent="0.25">
      <c r="A154" s="28">
        <v>16</v>
      </c>
      <c r="B154" s="28" t="s">
        <v>60</v>
      </c>
      <c r="C154" s="28"/>
      <c r="D154" s="28"/>
      <c r="E154" s="29">
        <v>2.1291669999999999E-2</v>
      </c>
      <c r="F154" s="28"/>
      <c r="G154" s="30">
        <v>2.5550000000000002</v>
      </c>
      <c r="H154" s="28"/>
      <c r="I154" s="28">
        <v>1</v>
      </c>
      <c r="J154" s="28" t="s">
        <v>51</v>
      </c>
      <c r="K154" s="29">
        <v>0.85</v>
      </c>
      <c r="L154" s="28" t="s">
        <v>51</v>
      </c>
      <c r="M154" s="29">
        <v>0.05</v>
      </c>
      <c r="N154" s="28" t="s">
        <v>49</v>
      </c>
      <c r="O154" s="29">
        <v>2.1291669999999999E-2</v>
      </c>
      <c r="P154" s="28" t="s">
        <v>53</v>
      </c>
      <c r="Q154" s="29">
        <v>1.7033340000000001E-2</v>
      </c>
      <c r="R154" s="28"/>
      <c r="S154" s="29">
        <v>7.9843781250000005E-4</v>
      </c>
    </row>
    <row r="155" spans="1:19" x14ac:dyDescent="0.25">
      <c r="A155" s="28">
        <v>16</v>
      </c>
      <c r="B155" s="28" t="s">
        <v>228</v>
      </c>
      <c r="C155" s="28"/>
      <c r="D155" s="28"/>
      <c r="E155" s="29">
        <v>8.516667E-2</v>
      </c>
      <c r="F155" s="28"/>
      <c r="G155" s="30">
        <v>10.220000000000001</v>
      </c>
      <c r="H155" s="28"/>
      <c r="I155" s="28">
        <v>1</v>
      </c>
      <c r="J155" s="28" t="s">
        <v>51</v>
      </c>
      <c r="K155" s="29">
        <v>0.85714285999999995</v>
      </c>
      <c r="L155" s="28" t="s">
        <v>51</v>
      </c>
      <c r="M155" s="29">
        <v>0.05</v>
      </c>
      <c r="N155" s="28" t="s">
        <v>49</v>
      </c>
      <c r="O155" s="29">
        <v>8.516667E-2</v>
      </c>
      <c r="P155" s="28" t="s">
        <v>53</v>
      </c>
      <c r="Q155" s="29">
        <v>6.8133340000000001E-2</v>
      </c>
      <c r="R155" s="28"/>
      <c r="S155" s="29">
        <v>3.1937503124999998E-3</v>
      </c>
    </row>
    <row r="156" spans="1:19" x14ac:dyDescent="0.25">
      <c r="A156" s="28">
        <v>17</v>
      </c>
      <c r="B156" s="28" t="s">
        <v>9</v>
      </c>
      <c r="C156" s="28"/>
      <c r="D156" s="28"/>
      <c r="E156" s="29">
        <v>0.2555</v>
      </c>
      <c r="F156" s="28"/>
      <c r="G156" s="30">
        <v>61.32</v>
      </c>
      <c r="H156" s="28"/>
      <c r="I156" s="28">
        <v>1</v>
      </c>
      <c r="J156" s="28" t="s">
        <v>51</v>
      </c>
      <c r="K156" s="29">
        <v>0.85</v>
      </c>
      <c r="L156" s="28" t="s">
        <v>51</v>
      </c>
      <c r="M156" s="29">
        <v>0.05</v>
      </c>
      <c r="N156" s="28" t="s">
        <v>49</v>
      </c>
      <c r="O156" s="29">
        <v>0.2555</v>
      </c>
      <c r="P156" s="28" t="s">
        <v>53</v>
      </c>
      <c r="Q156" s="29">
        <v>0.2044</v>
      </c>
      <c r="R156" s="28"/>
      <c r="S156" s="29">
        <v>1.9162499999999999E-2</v>
      </c>
    </row>
    <row r="157" spans="1:19" x14ac:dyDescent="0.25">
      <c r="A157" s="28">
        <v>18</v>
      </c>
      <c r="B157" s="28" t="s">
        <v>229</v>
      </c>
      <c r="C157" s="28"/>
      <c r="D157" s="28"/>
      <c r="E157" s="29">
        <v>0.2555</v>
      </c>
      <c r="F157" s="28"/>
      <c r="G157" s="30">
        <v>81.760000000000005</v>
      </c>
      <c r="H157" s="28"/>
      <c r="I157" s="28">
        <v>1</v>
      </c>
      <c r="J157" s="28" t="s">
        <v>51</v>
      </c>
      <c r="K157" s="29">
        <v>0.85</v>
      </c>
      <c r="L157" s="28" t="s">
        <v>51</v>
      </c>
      <c r="M157" s="29">
        <v>0.05</v>
      </c>
      <c r="N157" s="28" t="s">
        <v>49</v>
      </c>
      <c r="O157" s="29">
        <v>0.2555</v>
      </c>
      <c r="P157" s="28" t="s">
        <v>53</v>
      </c>
      <c r="Q157" s="29">
        <v>0.2044</v>
      </c>
      <c r="R157" s="28"/>
      <c r="S157" s="29">
        <v>2.555E-2</v>
      </c>
    </row>
    <row r="158" spans="1:19" x14ac:dyDescent="0.25">
      <c r="A158" s="28">
        <v>19</v>
      </c>
      <c r="B158" s="28" t="s">
        <v>216</v>
      </c>
      <c r="C158" s="28"/>
      <c r="D158" s="28"/>
      <c r="E158" s="29">
        <v>0.2555</v>
      </c>
      <c r="F158" s="28"/>
      <c r="G158" s="30">
        <v>40.880000000000003</v>
      </c>
      <c r="H158" s="28"/>
      <c r="I158" s="28">
        <v>1</v>
      </c>
      <c r="J158" s="28" t="s">
        <v>51</v>
      </c>
      <c r="K158" s="29">
        <v>0.83333332999999998</v>
      </c>
      <c r="L158" s="28" t="s">
        <v>51</v>
      </c>
      <c r="M158" s="29">
        <v>3.3333330000000001E-2</v>
      </c>
      <c r="N158" s="28" t="s">
        <v>49</v>
      </c>
      <c r="O158" s="29">
        <v>0.2555</v>
      </c>
      <c r="P158" s="28" t="s">
        <v>53</v>
      </c>
      <c r="Q158" s="29">
        <v>0.2044</v>
      </c>
      <c r="R158" s="28"/>
      <c r="S158" s="29">
        <v>1.2775E-2</v>
      </c>
    </row>
    <row r="159" spans="1:19" x14ac:dyDescent="0.25">
      <c r="A159" s="18">
        <v>20</v>
      </c>
      <c r="B159" s="18" t="s">
        <v>230</v>
      </c>
      <c r="C159" s="18"/>
      <c r="D159" s="18"/>
      <c r="E159" s="19">
        <v>0.2555</v>
      </c>
      <c r="F159" s="18"/>
      <c r="G159" s="20">
        <v>40.880000000000003</v>
      </c>
      <c r="H159" s="18"/>
      <c r="I159" s="18">
        <v>1</v>
      </c>
      <c r="J159" s="18" t="s">
        <v>51</v>
      </c>
      <c r="K159" s="19">
        <v>0.85</v>
      </c>
      <c r="L159" s="18" t="s">
        <v>51</v>
      </c>
      <c r="M159" s="19">
        <v>0.05</v>
      </c>
      <c r="N159" s="18" t="s">
        <v>49</v>
      </c>
      <c r="O159" s="19">
        <v>0.2555</v>
      </c>
      <c r="P159" s="18" t="s">
        <v>53</v>
      </c>
      <c r="Q159" s="19">
        <v>0.2044</v>
      </c>
      <c r="R159" s="18"/>
      <c r="S159" s="19">
        <v>1.2775E-2</v>
      </c>
    </row>
    <row r="160" spans="1:19" x14ac:dyDescent="0.25">
      <c r="A160" s="21" t="s">
        <v>61</v>
      </c>
      <c r="B160" s="21"/>
      <c r="C160" s="21"/>
      <c r="D160" s="21"/>
      <c r="E160" s="21"/>
      <c r="F160" s="21"/>
      <c r="G160" s="22">
        <v>327.04000000000002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3">
        <v>0.1022</v>
      </c>
    </row>
    <row r="162" spans="1:19" x14ac:dyDescent="0.25">
      <c r="A162" s="26" t="s">
        <v>57</v>
      </c>
      <c r="B162" s="44" t="s">
        <v>298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6"/>
    </row>
    <row r="163" spans="1:19" x14ac:dyDescent="0.25">
      <c r="A163" s="27" t="s">
        <v>214</v>
      </c>
      <c r="B163" s="41" t="s">
        <v>297</v>
      </c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3"/>
    </row>
    <row r="165" spans="1:19" x14ac:dyDescent="0.25">
      <c r="A165" s="28">
        <v>14</v>
      </c>
      <c r="B165" s="28" t="s">
        <v>140</v>
      </c>
      <c r="C165" s="28"/>
      <c r="D165" s="28"/>
      <c r="E165" s="29">
        <v>0.47449999999999998</v>
      </c>
      <c r="F165" s="28"/>
      <c r="G165" s="30">
        <v>113.88</v>
      </c>
      <c r="H165" s="28"/>
      <c r="I165" s="28">
        <v>1</v>
      </c>
      <c r="J165" s="28" t="s">
        <v>51</v>
      </c>
      <c r="K165" s="29">
        <v>0.85</v>
      </c>
      <c r="L165" s="28" t="s">
        <v>51</v>
      </c>
      <c r="M165" s="29">
        <v>0.05</v>
      </c>
      <c r="N165" s="28" t="s">
        <v>49</v>
      </c>
      <c r="O165" s="29">
        <v>0.47449999999999998</v>
      </c>
      <c r="P165" s="28" t="s">
        <v>53</v>
      </c>
      <c r="Q165" s="29">
        <v>0.37959999999999999</v>
      </c>
      <c r="R165" s="28"/>
      <c r="S165" s="29">
        <v>3.5587500000000001E-2</v>
      </c>
    </row>
    <row r="166" spans="1:19" x14ac:dyDescent="0.25">
      <c r="A166" s="28">
        <v>15</v>
      </c>
      <c r="B166" s="28" t="s">
        <v>227</v>
      </c>
      <c r="C166" s="28"/>
      <c r="D166" s="28"/>
      <c r="E166" s="29">
        <v>0.47449999999999998</v>
      </c>
      <c r="F166" s="28"/>
      <c r="G166" s="30">
        <v>18.98</v>
      </c>
      <c r="H166" s="28"/>
      <c r="I166" s="28">
        <v>1</v>
      </c>
      <c r="J166" s="28" t="s">
        <v>51</v>
      </c>
      <c r="K166" s="29">
        <v>0.85</v>
      </c>
      <c r="L166" s="28" t="s">
        <v>51</v>
      </c>
      <c r="M166" s="29">
        <v>0.05</v>
      </c>
      <c r="N166" s="28" t="s">
        <v>49</v>
      </c>
      <c r="O166" s="29">
        <v>0.47449999999999998</v>
      </c>
      <c r="P166" s="28" t="s">
        <v>53</v>
      </c>
      <c r="Q166" s="29">
        <v>0.37959999999999999</v>
      </c>
      <c r="R166" s="28"/>
      <c r="S166" s="29">
        <v>5.9312499999999999E-3</v>
      </c>
    </row>
    <row r="167" spans="1:19" x14ac:dyDescent="0.25">
      <c r="A167" s="28">
        <v>16</v>
      </c>
      <c r="B167" s="28" t="s">
        <v>238</v>
      </c>
      <c r="C167" s="28"/>
      <c r="D167" s="28"/>
      <c r="E167" s="29">
        <v>0.27679165999999999</v>
      </c>
      <c r="F167" s="28"/>
      <c r="G167" s="30">
        <v>33.215000000000003</v>
      </c>
      <c r="H167" s="28"/>
      <c r="I167" s="28">
        <v>1</v>
      </c>
      <c r="J167" s="28" t="s">
        <v>51</v>
      </c>
      <c r="K167" s="29">
        <v>0.85714285999999995</v>
      </c>
      <c r="L167" s="28" t="s">
        <v>51</v>
      </c>
      <c r="M167" s="29">
        <v>5.7142859999999997E-2</v>
      </c>
      <c r="N167" s="28" t="s">
        <v>49</v>
      </c>
      <c r="O167" s="29">
        <v>0.27679165999999999</v>
      </c>
      <c r="P167" s="28" t="s">
        <v>53</v>
      </c>
      <c r="Q167" s="29">
        <v>0.22143331999999999</v>
      </c>
      <c r="R167" s="28"/>
      <c r="S167" s="29">
        <v>1.0379686875E-2</v>
      </c>
    </row>
    <row r="168" spans="1:19" x14ac:dyDescent="0.25">
      <c r="A168" s="28">
        <v>16</v>
      </c>
      <c r="B168" s="28" t="s">
        <v>228</v>
      </c>
      <c r="C168" s="28"/>
      <c r="D168" s="28"/>
      <c r="E168" s="29">
        <v>0.15816667000000001</v>
      </c>
      <c r="F168" s="28"/>
      <c r="G168" s="30">
        <v>18.98</v>
      </c>
      <c r="H168" s="28"/>
      <c r="I168" s="28">
        <v>1</v>
      </c>
      <c r="J168" s="28" t="s">
        <v>51</v>
      </c>
      <c r="K168" s="29">
        <v>0.85714285999999995</v>
      </c>
      <c r="L168" s="28" t="s">
        <v>51</v>
      </c>
      <c r="M168" s="29">
        <v>0.05</v>
      </c>
      <c r="N168" s="28" t="s">
        <v>49</v>
      </c>
      <c r="O168" s="29">
        <v>0.15816667000000001</v>
      </c>
      <c r="P168" s="28" t="s">
        <v>53</v>
      </c>
      <c r="Q168" s="29">
        <v>0.12653333999999999</v>
      </c>
      <c r="R168" s="28"/>
      <c r="S168" s="29">
        <v>5.9312503124999997E-3</v>
      </c>
    </row>
    <row r="169" spans="1:19" x14ac:dyDescent="0.25">
      <c r="A169" s="28">
        <v>16</v>
      </c>
      <c r="B169" s="28" t="s">
        <v>60</v>
      </c>
      <c r="C169" s="28"/>
      <c r="D169" s="28"/>
      <c r="E169" s="29">
        <v>3.9541670000000001E-2</v>
      </c>
      <c r="F169" s="28"/>
      <c r="G169" s="30">
        <v>4.7450000000000001</v>
      </c>
      <c r="H169" s="28"/>
      <c r="I169" s="28">
        <v>1</v>
      </c>
      <c r="J169" s="28" t="s">
        <v>51</v>
      </c>
      <c r="K169" s="29">
        <v>0.85</v>
      </c>
      <c r="L169" s="28" t="s">
        <v>51</v>
      </c>
      <c r="M169" s="29">
        <v>0.05</v>
      </c>
      <c r="N169" s="28" t="s">
        <v>49</v>
      </c>
      <c r="O169" s="29">
        <v>3.9541670000000001E-2</v>
      </c>
      <c r="P169" s="28" t="s">
        <v>53</v>
      </c>
      <c r="Q169" s="29">
        <v>3.1633340000000003E-2</v>
      </c>
      <c r="R169" s="28"/>
      <c r="S169" s="29">
        <v>1.4828128125E-3</v>
      </c>
    </row>
    <row r="170" spans="1:19" x14ac:dyDescent="0.25">
      <c r="A170" s="28">
        <v>17</v>
      </c>
      <c r="B170" s="28" t="s">
        <v>9</v>
      </c>
      <c r="C170" s="28"/>
      <c r="D170" s="28"/>
      <c r="E170" s="29">
        <v>0.47449999999999998</v>
      </c>
      <c r="F170" s="28"/>
      <c r="G170" s="30">
        <v>113.88</v>
      </c>
      <c r="H170" s="28"/>
      <c r="I170" s="28">
        <v>1</v>
      </c>
      <c r="J170" s="28" t="s">
        <v>51</v>
      </c>
      <c r="K170" s="29">
        <v>0.85</v>
      </c>
      <c r="L170" s="28" t="s">
        <v>51</v>
      </c>
      <c r="M170" s="29">
        <v>0.05</v>
      </c>
      <c r="N170" s="28" t="s">
        <v>49</v>
      </c>
      <c r="O170" s="29">
        <v>0.47449999999999998</v>
      </c>
      <c r="P170" s="28" t="s">
        <v>53</v>
      </c>
      <c r="Q170" s="29">
        <v>0.37959999999999999</v>
      </c>
      <c r="R170" s="28"/>
      <c r="S170" s="29">
        <v>3.5587500000000001E-2</v>
      </c>
    </row>
    <row r="171" spans="1:19" x14ac:dyDescent="0.25">
      <c r="A171" s="28">
        <v>18</v>
      </c>
      <c r="B171" s="28" t="s">
        <v>229</v>
      </c>
      <c r="C171" s="28"/>
      <c r="D171" s="28"/>
      <c r="E171" s="29">
        <v>0.47449999999999998</v>
      </c>
      <c r="F171" s="28"/>
      <c r="G171" s="30">
        <v>151.84</v>
      </c>
      <c r="H171" s="28"/>
      <c r="I171" s="28">
        <v>1</v>
      </c>
      <c r="J171" s="28" t="s">
        <v>51</v>
      </c>
      <c r="K171" s="29">
        <v>0.85</v>
      </c>
      <c r="L171" s="28" t="s">
        <v>51</v>
      </c>
      <c r="M171" s="29">
        <v>0.05</v>
      </c>
      <c r="N171" s="28" t="s">
        <v>49</v>
      </c>
      <c r="O171" s="29">
        <v>0.47449999999999998</v>
      </c>
      <c r="P171" s="28" t="s">
        <v>53</v>
      </c>
      <c r="Q171" s="29">
        <v>0.37959999999999999</v>
      </c>
      <c r="R171" s="28"/>
      <c r="S171" s="29">
        <v>4.7449999999999999E-2</v>
      </c>
    </row>
    <row r="172" spans="1:19" x14ac:dyDescent="0.25">
      <c r="A172" s="28">
        <v>19</v>
      </c>
      <c r="B172" s="28" t="s">
        <v>216</v>
      </c>
      <c r="C172" s="28"/>
      <c r="D172" s="28"/>
      <c r="E172" s="29">
        <v>0.47449999999999998</v>
      </c>
      <c r="F172" s="28"/>
      <c r="G172" s="30">
        <v>75.92</v>
      </c>
      <c r="H172" s="28"/>
      <c r="I172" s="28">
        <v>1</v>
      </c>
      <c r="J172" s="28" t="s">
        <v>51</v>
      </c>
      <c r="K172" s="29">
        <v>0.83333332999999998</v>
      </c>
      <c r="L172" s="28" t="s">
        <v>51</v>
      </c>
      <c r="M172" s="29">
        <v>3.3333330000000001E-2</v>
      </c>
      <c r="N172" s="28" t="s">
        <v>49</v>
      </c>
      <c r="O172" s="29">
        <v>0.47449999999999998</v>
      </c>
      <c r="P172" s="28" t="s">
        <v>53</v>
      </c>
      <c r="Q172" s="29">
        <v>0.37959999999999999</v>
      </c>
      <c r="R172" s="28"/>
      <c r="S172" s="29">
        <v>2.3725E-2</v>
      </c>
    </row>
    <row r="173" spans="1:19" x14ac:dyDescent="0.25">
      <c r="A173" s="18">
        <v>20</v>
      </c>
      <c r="B173" s="18" t="s">
        <v>230</v>
      </c>
      <c r="C173" s="18"/>
      <c r="D173" s="18"/>
      <c r="E173" s="19">
        <v>0.47449999999999998</v>
      </c>
      <c r="F173" s="18"/>
      <c r="G173" s="20">
        <v>75.92</v>
      </c>
      <c r="H173" s="18"/>
      <c r="I173" s="18">
        <v>1</v>
      </c>
      <c r="J173" s="18" t="s">
        <v>51</v>
      </c>
      <c r="K173" s="19">
        <v>0.85</v>
      </c>
      <c r="L173" s="18" t="s">
        <v>51</v>
      </c>
      <c r="M173" s="19">
        <v>0.05</v>
      </c>
      <c r="N173" s="18" t="s">
        <v>49</v>
      </c>
      <c r="O173" s="19">
        <v>0.47449999999999998</v>
      </c>
      <c r="P173" s="18" t="s">
        <v>53</v>
      </c>
      <c r="Q173" s="19">
        <v>0.37959999999999999</v>
      </c>
      <c r="R173" s="18"/>
      <c r="S173" s="19">
        <v>2.3725E-2</v>
      </c>
    </row>
    <row r="174" spans="1:19" x14ac:dyDescent="0.25">
      <c r="A174" s="21" t="s">
        <v>61</v>
      </c>
      <c r="B174" s="21"/>
      <c r="C174" s="21"/>
      <c r="D174" s="21"/>
      <c r="E174" s="21"/>
      <c r="F174" s="21"/>
      <c r="G174" s="22">
        <v>607.36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3">
        <v>0.1898</v>
      </c>
    </row>
  </sheetData>
  <mergeCells count="20">
    <mergeCell ref="B163:S163"/>
    <mergeCell ref="B63:S63"/>
    <mergeCell ref="B79:S79"/>
    <mergeCell ref="B4:S4"/>
    <mergeCell ref="B135:S135"/>
    <mergeCell ref="B129:S129"/>
    <mergeCell ref="B17:S17"/>
    <mergeCell ref="B148:S148"/>
    <mergeCell ref="B78:S78"/>
    <mergeCell ref="B162:S162"/>
    <mergeCell ref="B128:S128"/>
    <mergeCell ref="B64:S64"/>
    <mergeCell ref="B142:S142"/>
    <mergeCell ref="B32:S32"/>
    <mergeCell ref="B3:S3"/>
    <mergeCell ref="B134:S134"/>
    <mergeCell ref="B141:S141"/>
    <mergeCell ref="B31:S31"/>
    <mergeCell ref="B149:S149"/>
    <mergeCell ref="B18:S18"/>
  </mergeCells>
  <pageMargins left="0.25" right="0.25" top="0.75" bottom="0.75" header="0.3" footer="0.3"/>
  <pageSetup fitToHeight="0" orientation="landscape"/>
  <headerFooter scaleWithDoc="0">
    <oddHeader>&amp;C&amp;"Times New Roman,Bold"&amp;11 Schedule 2.4: Working Interests (Unit-Based)</oddHeader>
    <oddFooter>&amp;C&amp;"Times New Roman"&amp;10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5"/>
  <sheetViews>
    <sheetView workbookViewId="0"/>
  </sheetViews>
  <sheetFormatPr defaultRowHeight="15" x14ac:dyDescent="0.25"/>
  <cols>
    <col min="1" max="1" width="8" customWidth="1"/>
    <col min="2" max="6" width="14" customWidth="1"/>
  </cols>
  <sheetData>
    <row r="1" spans="1:6" x14ac:dyDescent="0.25">
      <c r="A1" s="24" t="s">
        <v>45</v>
      </c>
      <c r="B1" s="24" t="s">
        <v>327</v>
      </c>
      <c r="C1" s="24" t="s">
        <v>328</v>
      </c>
      <c r="D1" s="24" t="s">
        <v>329</v>
      </c>
      <c r="E1" s="24" t="s">
        <v>330</v>
      </c>
      <c r="F1" s="24" t="s">
        <v>331</v>
      </c>
    </row>
    <row r="2" spans="1:6" x14ac:dyDescent="0.25">
      <c r="A2" s="18">
        <v>1</v>
      </c>
      <c r="B2" s="19">
        <v>8.7890626757812507E-5</v>
      </c>
      <c r="C2" s="19">
        <v>0</v>
      </c>
      <c r="D2" s="19">
        <v>1.7578123242187499E-5</v>
      </c>
      <c r="E2" s="19">
        <v>4.21875E-4</v>
      </c>
      <c r="F2" s="19">
        <v>5.2734375000000003E-4</v>
      </c>
    </row>
    <row r="3" spans="1:6" x14ac:dyDescent="0.25">
      <c r="A3" s="18">
        <v>2</v>
      </c>
      <c r="B3" s="19">
        <v>2.084917739023438E-2</v>
      </c>
      <c r="C3" s="19">
        <v>0</v>
      </c>
      <c r="D3" s="19">
        <v>4.3150475193359369E-3</v>
      </c>
      <c r="E3" s="19">
        <v>9.9308431340429687E-2</v>
      </c>
      <c r="F3" s="19">
        <v>0.12447265624999999</v>
      </c>
    </row>
    <row r="4" spans="1:6" x14ac:dyDescent="0.25">
      <c r="A4" s="18">
        <v>3</v>
      </c>
      <c r="B4" s="19">
        <v>1.5234375E-2</v>
      </c>
      <c r="C4" s="19">
        <v>0</v>
      </c>
      <c r="D4" s="19">
        <v>3.5156250000000001E-3</v>
      </c>
      <c r="E4" s="19">
        <v>7.4999999999999997E-2</v>
      </c>
      <c r="F4" s="19">
        <v>9.375E-2</v>
      </c>
    </row>
    <row r="5" spans="1:6" x14ac:dyDescent="0.25">
      <c r="A5" s="18">
        <v>4</v>
      </c>
      <c r="B5" s="19">
        <v>5.2083334374999997E-3</v>
      </c>
      <c r="C5" s="19">
        <v>0</v>
      </c>
      <c r="D5" s="19">
        <v>1.0416665625E-3</v>
      </c>
      <c r="E5" s="19">
        <v>2.5000000000000001E-2</v>
      </c>
      <c r="F5" s="19">
        <v>3.125E-2</v>
      </c>
    </row>
    <row r="6" spans="1:6" x14ac:dyDescent="0.25">
      <c r="A6" s="18">
        <v>14</v>
      </c>
      <c r="B6" s="19">
        <v>1.40625E-2</v>
      </c>
      <c r="C6" s="19">
        <v>0</v>
      </c>
      <c r="D6" s="19">
        <v>4.6875000000000007E-3</v>
      </c>
      <c r="E6" s="19">
        <v>7.4999999999999997E-2</v>
      </c>
      <c r="F6" s="19">
        <v>9.375E-2</v>
      </c>
    </row>
    <row r="7" spans="1:6" x14ac:dyDescent="0.25">
      <c r="A7" s="18">
        <v>15</v>
      </c>
      <c r="B7" s="19">
        <v>2.3437499999999999E-3</v>
      </c>
      <c r="C7" s="19">
        <v>0</v>
      </c>
      <c r="D7" s="19">
        <v>7.8125000000000004E-4</v>
      </c>
      <c r="E7" s="19">
        <v>1.2500000000000001E-2</v>
      </c>
      <c r="F7" s="19">
        <v>1.5625E-2</v>
      </c>
    </row>
    <row r="8" spans="1:6" x14ac:dyDescent="0.25">
      <c r="A8" s="18">
        <v>16</v>
      </c>
      <c r="B8" s="19">
        <v>6.8359373437500001E-3</v>
      </c>
      <c r="C8" s="19">
        <v>0</v>
      </c>
      <c r="D8" s="19">
        <v>2.53906265625E-3</v>
      </c>
      <c r="E8" s="19">
        <v>3.7499999999999999E-2</v>
      </c>
      <c r="F8" s="19">
        <v>4.6875E-2</v>
      </c>
    </row>
    <row r="9" spans="1:6" x14ac:dyDescent="0.25">
      <c r="A9" s="18">
        <v>17</v>
      </c>
      <c r="B9" s="19">
        <v>1.40625E-2</v>
      </c>
      <c r="C9" s="19">
        <v>0</v>
      </c>
      <c r="D9" s="19">
        <v>4.6875000000000007E-3</v>
      </c>
      <c r="E9" s="19">
        <v>7.4999999999999997E-2</v>
      </c>
      <c r="F9" s="19">
        <v>9.375E-2</v>
      </c>
    </row>
    <row r="10" spans="1:6" x14ac:dyDescent="0.25">
      <c r="A10" s="18">
        <v>18</v>
      </c>
      <c r="B10" s="19">
        <v>1.8749999999999999E-2</v>
      </c>
      <c r="C10" s="19">
        <v>0</v>
      </c>
      <c r="D10" s="19">
        <v>6.2500000000000003E-3</v>
      </c>
      <c r="E10" s="19">
        <v>0.1</v>
      </c>
      <c r="F10" s="19">
        <v>0.125</v>
      </c>
    </row>
    <row r="11" spans="1:6" x14ac:dyDescent="0.25">
      <c r="A11" s="18">
        <v>19</v>
      </c>
      <c r="B11" s="19">
        <v>9.7916668750000005E-3</v>
      </c>
      <c r="C11" s="19">
        <v>6.2499937500000002E-4</v>
      </c>
      <c r="D11" s="19">
        <v>2.0833337500000002E-3</v>
      </c>
      <c r="E11" s="19">
        <v>0.05</v>
      </c>
      <c r="F11" s="19">
        <v>6.25E-2</v>
      </c>
    </row>
    <row r="12" spans="1:6" x14ac:dyDescent="0.25">
      <c r="A12" s="18">
        <v>20</v>
      </c>
      <c r="B12" s="19">
        <v>9.3749999999999997E-3</v>
      </c>
      <c r="C12" s="19">
        <v>0</v>
      </c>
      <c r="D12" s="19">
        <v>3.1250000000000002E-3</v>
      </c>
      <c r="E12" s="19">
        <v>0.05</v>
      </c>
      <c r="F12" s="19">
        <v>6.25E-2</v>
      </c>
    </row>
    <row r="13" spans="1:6" x14ac:dyDescent="0.25">
      <c r="A13" s="18">
        <v>28</v>
      </c>
      <c r="B13" s="19">
        <v>3.1250000625000003E-2</v>
      </c>
      <c r="C13" s="19">
        <v>0</v>
      </c>
      <c r="D13" s="19">
        <v>6.2499993749999998E-3</v>
      </c>
      <c r="E13" s="19">
        <v>0.15</v>
      </c>
      <c r="F13" s="19">
        <v>0.1875</v>
      </c>
    </row>
    <row r="14" spans="1:6" x14ac:dyDescent="0.25">
      <c r="A14" s="18">
        <v>29</v>
      </c>
      <c r="B14" s="19">
        <v>1.171875E-2</v>
      </c>
      <c r="C14" s="19">
        <v>0</v>
      </c>
      <c r="D14" s="19">
        <v>9.7656250000000005E-5</v>
      </c>
      <c r="E14" s="19">
        <v>5.0683593749999999E-2</v>
      </c>
      <c r="F14" s="19">
        <v>6.25E-2</v>
      </c>
    </row>
    <row r="15" spans="1:6" x14ac:dyDescent="0.25">
      <c r="A15" s="21" t="s">
        <v>332</v>
      </c>
      <c r="B15" s="21"/>
      <c r="C15" s="21"/>
      <c r="D15" s="21"/>
      <c r="E15" s="21"/>
      <c r="F15" s="23">
        <v>1</v>
      </c>
    </row>
  </sheetData>
  <printOptions horizontalCentered="1"/>
  <pageMargins left="0.25" right="0.25" top="0.75" bottom="0.75" header="0.3" footer="0.3"/>
  <pageSetup fitToHeight="0" orientation="portrait"/>
  <headerFooter scaleWithDoc="0">
    <oddHeader>&amp;C&amp;"Times New Roman,Bold"&amp;11 Schedule 2.5: Unit Recap (Unit-Based)</oddHeader>
    <oddFooter>&amp;C&amp;"Times New Roman"&amp;10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8273D2A54124490BA2388362152CC" ma:contentTypeVersion="29" ma:contentTypeDescription="Create a new document." ma:contentTypeScope="" ma:versionID="ff3cb129603a26b4a31d68c82b4340e7">
  <xsd:schema xmlns:xsd="http://www.w3.org/2001/XMLSchema" xmlns:xs="http://www.w3.org/2001/XMLSchema" xmlns:p="http://schemas.microsoft.com/office/2006/metadata/properties" xmlns:ns2="b0559690-de1b-433d-af6b-2ee2a4c985de" xmlns:ns3="f82e7c47-79f2-401e-becf-d82cd66c04ee" targetNamespace="http://schemas.microsoft.com/office/2006/metadata/properties" ma:root="true" ma:fieldsID="483c799ff01158df155c109d4bdcfbbf" ns2:_="" ns3:_="">
    <xsd:import namespace="b0559690-de1b-433d-af6b-2ee2a4c985de"/>
    <xsd:import namespace="f82e7c47-79f2-401e-becf-d82cd66c04ee"/>
    <xsd:element name="properties">
      <xsd:complexType>
        <xsd:sequence>
          <xsd:element name="documentManagement">
            <xsd:complexType>
              <xsd:all>
                <xsd:element ref="ns2:Created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Resourc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59690-de1b-433d-af6b-2ee2a4c985de" elementFormDefault="qualified">
    <xsd:import namespace="http://schemas.microsoft.com/office/2006/documentManagement/types"/>
    <xsd:import namespace="http://schemas.microsoft.com/office/infopath/2007/PartnerControls"/>
    <xsd:element name="CreatedDate" ma:index="8" nillable="true" ma:displayName="Upload Date" ma:format="DateOnly" ma:internalName="CreatedDate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3f2f7c6-f864-44cc-a523-ffeb56edf1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ourceType" ma:index="27" nillable="true" ma:displayName="Resource Type" ma:default="PDF" ma:format="Dropdown" ma:internalName="Resource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Hyperlink"/>
                    <xsd:enumeration value="PDF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e7c47-79f2-401e-becf-d82cd66c04e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f03e8fd-e506-4bf5-8f55-59f39d5ee7c5}" ma:internalName="TaxCatchAll" ma:showField="CatchAllData" ma:web="f82e7c47-79f2-401e-becf-d82cd66c0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2e7c47-79f2-401e-becf-d82cd66c04ee" xsi:nil="true"/>
    <lcf76f155ced4ddcb4097134ff3c332f xmlns="b0559690-de1b-433d-af6b-2ee2a4c985de">
      <Terms xmlns="http://schemas.microsoft.com/office/infopath/2007/PartnerControls"/>
    </lcf76f155ced4ddcb4097134ff3c332f>
    <ResourceType xmlns="b0559690-de1b-433d-af6b-2ee2a4c985de">
      <Value>PDF</Value>
    </ResourceType>
    <CreatedDate xmlns="b0559690-de1b-433d-af6b-2ee2a4c985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BC6B82-F34D-4FEC-8AD0-414651C74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59690-de1b-433d-af6b-2ee2a4c985de"/>
    <ds:schemaRef ds:uri="f82e7c47-79f2-401e-becf-d82cd66c04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E1D8BF-93D5-4D7F-AFCF-DBBB4965C46D}">
  <ds:schemaRefs>
    <ds:schemaRef ds:uri="http://schemas.microsoft.com/office/2006/metadata/properties"/>
    <ds:schemaRef ds:uri="http://schemas.microsoft.com/office/infopath/2007/PartnerControls"/>
    <ds:schemaRef ds:uri="f82e7c47-79f2-401e-becf-d82cd66c04ee"/>
    <ds:schemaRef ds:uri="b0559690-de1b-433d-af6b-2ee2a4c985de"/>
  </ds:schemaRefs>
</ds:datastoreItem>
</file>

<file path=customXml/itemProps3.xml><?xml version="1.0" encoding="utf-8"?>
<ds:datastoreItem xmlns:ds="http://schemas.openxmlformats.org/officeDocument/2006/customXml" ds:itemID="{670BB723-2C0A-4742-8ABC-8A17F455A1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Tract List</vt:lpstr>
      <vt:lpstr>LORI</vt:lpstr>
      <vt:lpstr>NPRI</vt:lpstr>
      <vt:lpstr>ORI</vt:lpstr>
      <vt:lpstr>WI</vt:lpstr>
      <vt:lpstr>Unit Recap</vt:lpstr>
      <vt:lpstr>LORI!Print_Titles</vt:lpstr>
      <vt:lpstr>NPRI!Print_Titles</vt:lpstr>
      <vt:lpstr>ORI!Print_Titles</vt:lpstr>
      <vt:lpstr>WI!Print_Titles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Oxford</cp:lastModifiedBy>
  <dcterms:created xsi:type="dcterms:W3CDTF">2025-11-26T19:31:13Z</dcterms:created>
  <dcterms:modified xsi:type="dcterms:W3CDTF">2025-11-26T21:07:06Z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0x0101009E68273D2A54124490BA2388362152CC</vt:lpwstr>
  </property>
  <property fmtid="{D5CDD505-2E9C-101B-9397-08002B2CF9AE}" pid="3" name="MediaServiceImageTags">
    <vt:lpwstr/>
  </property>
</Properties>
</file>