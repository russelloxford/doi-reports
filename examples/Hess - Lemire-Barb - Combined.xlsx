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DOI-Reports\examples\"/>
    </mc:Choice>
  </mc:AlternateContent>
  <xr:revisionPtr revIDLastSave="0" documentId="13_ncr:1_{6994A6FD-D46E-451D-B6C7-F946C158B989}" xr6:coauthVersionLast="47" xr6:coauthVersionMax="47" xr10:uidLastSave="{00000000-0000-0000-0000-000000000000}"/>
  <bookViews>
    <workbookView xWindow="-120" yWindow="-120" windowWidth="38640" windowHeight="21120" activeTab="2" xr2:uid="{1105B7A1-0517-4D1B-BEF1-A8DCF7B0FC21}"/>
  </bookViews>
  <sheets>
    <sheet name="TractList" sheetId="8" r:id="rId1"/>
    <sheet name="Combined" sheetId="4" r:id="rId2"/>
    <sheet name="Addresses" sheetId="11" r:id="rId3"/>
  </sheets>
  <externalReferences>
    <externalReference r:id="rId4"/>
  </externalReferences>
  <definedNames>
    <definedName name="FIXED_UNIT_TOTAL">[1]RunSheet!$O$16</definedName>
    <definedName name="Lands">TractList!#REF!</definedName>
    <definedName name="Owners">#REF!</definedName>
    <definedName name="_xlnm.Print_Area" localSheetId="2">Table3[#All]</definedName>
    <definedName name="_xlnm.Print_Area" localSheetId="1">Combined4[#All]</definedName>
    <definedName name="_xlnm.Print_Area" localSheetId="0">TractList[[#All],[Tract]:[Interest in Unit]]</definedName>
    <definedName name="PriorOpinions">TractList!#REF!</definedName>
    <definedName name="TractAcres">#REF!</definedName>
    <definedName name="TractSum">#REF!</definedName>
    <definedName name="UnitFactor">#REF!</definedName>
    <definedName name="UnitS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F2" i="4" l="1"/>
  <c r="C23" i="8"/>
  <c r="D18" i="8" l="1"/>
  <c r="D21" i="8"/>
  <c r="D20" i="8"/>
  <c r="D19" i="8"/>
  <c r="D10" i="8"/>
  <c r="D17" i="8"/>
  <c r="D16" i="8"/>
  <c r="D15" i="8"/>
  <c r="D22" i="8"/>
  <c r="D14" i="8"/>
  <c r="D11" i="8"/>
  <c r="D12" i="8"/>
  <c r="D13" i="8"/>
  <c r="D23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EB6E0-290E-4077-8F0E-E963FAD30930}" keepAlive="1" name="Query - Combined" description="Connection to the 'Combined' query in the workbook." type="5" refreshedVersion="8" background="1" saveData="1">
    <dbPr connection="Provider=Microsoft.Mashup.OleDb.1;Data Source=$Workbook$;Location=Combined;Extended Properties=&quot;&quot;" command="SELECT * FROM [Combined]"/>
  </connection>
  <connection id="2" xr16:uid="{6F90FFA7-0C72-4D5A-8FA6-4C2A16D9E264}" keepAlive="1" name="Query - TractList" description="Connection to the 'TractList' query in the workbook." type="5" refreshedVersion="0" background="1" saveData="1">
    <dbPr connection="Provider=Microsoft.Mashup.OleDb.1;Data Source=$Workbook$;Location=TractList;Extended Properties=&quot;&quot;" command="SELECT * FROM [TractList]"/>
  </connection>
</connections>
</file>

<file path=xl/sharedStrings.xml><?xml version="1.0" encoding="utf-8"?>
<sst xmlns="http://schemas.openxmlformats.org/spreadsheetml/2006/main" count="3916" uniqueCount="917">
  <si>
    <t>OWNER</t>
  </si>
  <si>
    <t>TYPE</t>
  </si>
  <si>
    <t>DECIMAL INTEREST</t>
  </si>
  <si>
    <t>NET ACRES</t>
  </si>
  <si>
    <t>LEASE NO.</t>
  </si>
  <si>
    <t>LEASE ROYALTY</t>
  </si>
  <si>
    <t>NPRI BURDENS</t>
  </si>
  <si>
    <t>NPRI NO.</t>
  </si>
  <si>
    <t>LEASE NRI</t>
  </si>
  <si>
    <t>ORI BURDENS</t>
  </si>
  <si>
    <t>ORI NO.</t>
  </si>
  <si>
    <t>INTEREST BURDENED</t>
  </si>
  <si>
    <t>ACRES BURDENED</t>
  </si>
  <si>
    <t>NPRI</t>
  </si>
  <si>
    <t>SHARE OF NPRI</t>
  </si>
  <si>
    <t>ORI</t>
  </si>
  <si>
    <t>SHARE OF ORI</t>
  </si>
  <si>
    <t>TRACT NRI</t>
  </si>
  <si>
    <t>REQ</t>
  </si>
  <si>
    <t>TRACT</t>
  </si>
  <si>
    <t>A.O. Peterson and Vera Peterson, husband and wife, as joint tenant</t>
  </si>
  <si>
    <t>MI</t>
  </si>
  <si>
    <t>3</t>
  </si>
  <si>
    <t>AllDale Minerals, LP</t>
  </si>
  <si>
    <t>35</t>
  </si>
  <si>
    <t>Ann Bryans</t>
  </si>
  <si>
    <t>18</t>
  </si>
  <si>
    <t>17</t>
  </si>
  <si>
    <t>21</t>
  </si>
  <si>
    <t>Ann Marie Urban</t>
  </si>
  <si>
    <t>1</t>
  </si>
  <si>
    <t>39</t>
  </si>
  <si>
    <t>2</t>
  </si>
  <si>
    <t>10</t>
  </si>
  <si>
    <t>40</t>
  </si>
  <si>
    <t>16</t>
  </si>
  <si>
    <t>Anthony LLC</t>
  </si>
  <si>
    <t>Arvin S. Grove and Corrine A. Grove, husband and wife, as joint tenant</t>
  </si>
  <si>
    <t>Barbara J. Witteman</t>
  </si>
  <si>
    <t>Benjamin J. Allen</t>
  </si>
  <si>
    <t>Bole Resources, LLC</t>
  </si>
  <si>
    <t>60</t>
  </si>
  <si>
    <t>Brian Olson</t>
  </si>
  <si>
    <t>4</t>
  </si>
  <si>
    <t>28</t>
  </si>
  <si>
    <t>Brian W. Cole</t>
  </si>
  <si>
    <t>5</t>
  </si>
  <si>
    <t>Calvin L. Weber and Kayla E. Weber, as joint tenant</t>
  </si>
  <si>
    <t>9</t>
  </si>
  <si>
    <t>41</t>
  </si>
  <si>
    <t>Coit Energy, LLC</t>
  </si>
  <si>
    <t>Connie L. Doiel and Stephen J. Doiel, wife and husband, as joint tenant</t>
  </si>
  <si>
    <t>WI</t>
  </si>
  <si>
    <t>Daniel D. Cole</t>
  </si>
  <si>
    <t>Daniel L. Weber and Ticinie L. Weber, as joint tenant</t>
  </si>
  <si>
    <t>David H. Powell</t>
  </si>
  <si>
    <t>Divide Resources, LLC</t>
  </si>
  <si>
    <t>Don LeRoy Pederson</t>
  </si>
  <si>
    <t>26</t>
  </si>
  <si>
    <t>Eagle Pass Properties, LLC</t>
  </si>
  <si>
    <t>Ecliptic Energy, LLC</t>
  </si>
  <si>
    <t>Elizabeth Ann Psencik, a/k/a Elizabeth Ann Martin, a/k/a Beth Ann Martin</t>
  </si>
  <si>
    <t>12</t>
  </si>
  <si>
    <t>Elizabeth M. Carmody</t>
  </si>
  <si>
    <t>Ellco Resources, Inc.</t>
  </si>
  <si>
    <t>49</t>
  </si>
  <si>
    <t>Elroy Hickel</t>
  </si>
  <si>
    <t>34</t>
  </si>
  <si>
    <t>Eric L. Root and Jacqueline S. Root, as joint tenant</t>
  </si>
  <si>
    <t>Evertson Holdings LLC</t>
  </si>
  <si>
    <t>Falcon Petroleum, LLC</t>
  </si>
  <si>
    <t>Floyd Henning</t>
  </si>
  <si>
    <t>13</t>
  </si>
  <si>
    <t>14</t>
  </si>
  <si>
    <t>15</t>
  </si>
  <si>
    <t>Gary C. Stewart</t>
  </si>
  <si>
    <t>Gene D. Delaney</t>
  </si>
  <si>
    <t>30</t>
  </si>
  <si>
    <t>George Henning</t>
  </si>
  <si>
    <t>Granite Ridge Holdings, LLC</t>
  </si>
  <si>
    <t>Gray Wolf Resources, LLC</t>
  </si>
  <si>
    <t>Hal B. Koerner, Jr. Trust &amp; Diane Lynn Koerner Trust, Dianne Lynn Koerner, Co-Trustee</t>
  </si>
  <si>
    <t>Hess Bakken Investments II, LLC</t>
  </si>
  <si>
    <t>Incline Bakken II, LLC</t>
  </si>
  <si>
    <t>Irish Oil &amp; Gas, Inc.</t>
  </si>
  <si>
    <t>JAG Oil Limited Partnership</t>
  </si>
  <si>
    <t>James C. Druyff Trust, dated May 25, 2006, James C. Druyff, Trustee</t>
  </si>
  <si>
    <t>KT Energy, Inc.</t>
  </si>
  <si>
    <t>Kauffman Land &amp; Development, LLC</t>
  </si>
  <si>
    <t>Keenan Henning</t>
  </si>
  <si>
    <t>Kenneth and Lillian Hickel Family Trust under trust dated 08/31/2012, Marcia Gail Hartsoch, Trustee</t>
  </si>
  <si>
    <t>Khan Energy, LLC</t>
  </si>
  <si>
    <t>Kidder Investments, LLC</t>
  </si>
  <si>
    <t>Kimberly Flatow</t>
  </si>
  <si>
    <t>32</t>
  </si>
  <si>
    <t>Kirby L. Dasinger</t>
  </si>
  <si>
    <t>LPI Holdings, LLC</t>
  </si>
  <si>
    <t>LaRay P. Farris and Larry J. Farris, Jr., as joint tenant</t>
  </si>
  <si>
    <t>Lana H. Bratcher and Troy L. Bratcher, as joint tenant</t>
  </si>
  <si>
    <t>Laura Lee Rog</t>
  </si>
  <si>
    <t>19</t>
  </si>
  <si>
    <t>Lee F. Allen</t>
  </si>
  <si>
    <t>Leer Resources, Inc.</t>
  </si>
  <si>
    <t>Lewis A. Allen</t>
  </si>
  <si>
    <t>Lindsey Henning</t>
  </si>
  <si>
    <t>London L. Cooper and Timothy J. Cooper, as joint tenant</t>
  </si>
  <si>
    <t>Lorraine Druyff Trust, dated May 25, 2006, James C. Druyff, Successor Trustee</t>
  </si>
  <si>
    <t>Lorri S. Slocum</t>
  </si>
  <si>
    <t>Lowell Lundstrom Ministries, Inc.</t>
  </si>
  <si>
    <t>8</t>
  </si>
  <si>
    <t>Lynea Olson</t>
  </si>
  <si>
    <t>Lynne R. Anseth</t>
  </si>
  <si>
    <t>MEL Energ, Inc.</t>
  </si>
  <si>
    <t>MEL Energy, Inc.</t>
  </si>
  <si>
    <t>Marguerite K. Timbel</t>
  </si>
  <si>
    <t>7</t>
  </si>
  <si>
    <t>Monterrey Keystone, L.L.C.</t>
  </si>
  <si>
    <t>Ned R. Timbel</t>
  </si>
  <si>
    <t>Neil L. Allen</t>
  </si>
  <si>
    <t>None.</t>
  </si>
  <si>
    <t>North Plains Energy, LLC</t>
  </si>
  <si>
    <t>Northern Oil and Gas, Inc.</t>
  </si>
  <si>
    <t>Overland Energy Partners III, LLC</t>
  </si>
  <si>
    <t>Overland Energy Partners IV, LLC</t>
  </si>
  <si>
    <t>58</t>
  </si>
  <si>
    <t>Overland Mineral Holdings II, LLC</t>
  </si>
  <si>
    <t>Overland Mineral Holdings, LLC</t>
  </si>
  <si>
    <t>Patrick L. Elliott</t>
  </si>
  <si>
    <t>Penelope J. Verhasselt, f/k/a Penelope Braaten</t>
  </si>
  <si>
    <t>33</t>
  </si>
  <si>
    <t>Petrogaard LLC</t>
  </si>
  <si>
    <t>Rebecca Rhodes, f/k/a Rebecca Delaney, a/k/a Rebecca Delaney Rhodes</t>
  </si>
  <si>
    <t>31</t>
  </si>
  <si>
    <t>Red River Resources, Inc.</t>
  </si>
  <si>
    <t>Robert C. Elliott and Sue E. Elliott, husband and wife, as joint tenant</t>
  </si>
  <si>
    <t>Ronald D. Anderson and Charla Ann Anderson Family Mineral Trust, Ronald D. Anderson and Charlie Duane Anderson, Co-Trustees</t>
  </si>
  <si>
    <t>42</t>
  </si>
  <si>
    <t>Rose Exploration, Inc.</t>
  </si>
  <si>
    <t>Round Prairie Minerals, LLC</t>
  </si>
  <si>
    <t>S&amp;E Royalty, LLC</t>
  </si>
  <si>
    <t>Scott Delaney</t>
  </si>
  <si>
    <t>38</t>
  </si>
  <si>
    <t>Sundheim Oil Corporation</t>
  </si>
  <si>
    <t>Susan Lynn Pederson</t>
  </si>
  <si>
    <t>25</t>
  </si>
  <si>
    <t>Terry L. Allen</t>
  </si>
  <si>
    <t>The Christine Delaney Mineral Trust dated November 7, 2013, Christine Delaney, Trustee</t>
  </si>
  <si>
    <t>37</t>
  </si>
  <si>
    <t>The Hepper Living Trust dated February 7, 2001, James M. Hepper and Eunice Hepper, Trustees</t>
  </si>
  <si>
    <t>The Hickel Family Mineral Trust, Hal Hickel and Charlene Hickel, Co-Trustees</t>
  </si>
  <si>
    <t>The Hickel Family Trust dated October 28, 1993, Joseph M. Hickel and Veloris E. Hickel, Trustees</t>
  </si>
  <si>
    <t>36</t>
  </si>
  <si>
    <t>The Insightful Revocable Trust, Phillip A. Kriz, Trustee</t>
  </si>
  <si>
    <t>The Jerry M. Grev Trust A under trust agreement dated November 8, 1998, Heather J. Sletmoen, f/k/a Heather J. Grev, and Samuel J. Grev as Trustees</t>
  </si>
  <si>
    <t>11</t>
  </si>
  <si>
    <t>The Michelle Brenner 2004 Living Trust dated July 1, 2004, Michelle Brenner, Trustee</t>
  </si>
  <si>
    <t>Tim E. Macke</t>
  </si>
  <si>
    <t>Victor Bryans</t>
  </si>
  <si>
    <t>23</t>
  </si>
  <si>
    <t>WTS Investments, LLLP</t>
  </si>
  <si>
    <t>6</t>
  </si>
  <si>
    <t>Allen Long</t>
  </si>
  <si>
    <t>11-14</t>
  </si>
  <si>
    <t>PL1</t>
  </si>
  <si>
    <t>PL2</t>
  </si>
  <si>
    <t>9, 10</t>
  </si>
  <si>
    <t>Barbara A. Knox, life estate, remainder to Jennifer Fettig</t>
  </si>
  <si>
    <t>Benjamin Elliott</t>
  </si>
  <si>
    <t>22</t>
  </si>
  <si>
    <t>Brandi Severson</t>
  </si>
  <si>
    <t>17-22</t>
  </si>
  <si>
    <t>Carol E. Anderson</t>
  </si>
  <si>
    <t>Daniel L. Kutnink</t>
  </si>
  <si>
    <t>Daniel W. Bean</t>
  </si>
  <si>
    <t>PL3</t>
  </si>
  <si>
    <t>18, 19</t>
  </si>
  <si>
    <t>Darla J. Gilbertson</t>
  </si>
  <si>
    <t>Deneille K. Soine a/k/a Deneille Soine and Noble V. Soine a/k/a Noble Soine, wife and husband, as joint tenants</t>
  </si>
  <si>
    <t>Eric L. Root and Jacqueline S. Root, as joint tenants</t>
  </si>
  <si>
    <t>Garold A. Kutnink</t>
  </si>
  <si>
    <t>1-6</t>
  </si>
  <si>
    <t>18, 20</t>
  </si>
  <si>
    <t>18, 20, 27</t>
  </si>
  <si>
    <t>Gros Venture, LLC</t>
  </si>
  <si>
    <t>PO12</t>
  </si>
  <si>
    <t>Helen Ringstad</t>
  </si>
  <si>
    <t>James Gifford Rogers</t>
  </si>
  <si>
    <t>James P. Oursland and Susan P. Oursland, as joint tenants</t>
  </si>
  <si>
    <t>Jana M. Kutnink</t>
  </si>
  <si>
    <t>Jeffrey Klatt</t>
  </si>
  <si>
    <t>Julie A. Kutnink</t>
  </si>
  <si>
    <t>Kelly Resources, LLC</t>
  </si>
  <si>
    <t>20</t>
  </si>
  <si>
    <t>Kevin Long</t>
  </si>
  <si>
    <t>Laura Faye Warneke</t>
  </si>
  <si>
    <t>Louis T. Hagen III a/k/a Louis Hagen</t>
  </si>
  <si>
    <t>Marlene Donnelly</t>
  </si>
  <si>
    <t>Mary Lou Radant</t>
  </si>
  <si>
    <t>Mesa Royalties IV Holdings, LLC</t>
  </si>
  <si>
    <t>Misty Johnson</t>
  </si>
  <si>
    <t>Nancy Elliott</t>
  </si>
  <si>
    <t>Overland Energy Partners V, LLC</t>
  </si>
  <si>
    <t>Overland Mineral Holdings III, LLC</t>
  </si>
  <si>
    <t>Pamela R. Steinberger aka Pamela R. Lemire</t>
  </si>
  <si>
    <t>Pledge Resources, LLC</t>
  </si>
  <si>
    <t>R.A.A., LLC</t>
  </si>
  <si>
    <t>Raychelle Brown</t>
  </si>
  <si>
    <t>Rickie J. Knox</t>
  </si>
  <si>
    <t>Robert E. Jones</t>
  </si>
  <si>
    <t>PO5, PO8, 18</t>
  </si>
  <si>
    <t>STTX, LLC</t>
  </si>
  <si>
    <t>Scott L. Hajicek and Marilyn S. Hajicek, as joint tenants</t>
  </si>
  <si>
    <t>Shaylie Aker</t>
  </si>
  <si>
    <t>Shelley F. MacDonald</t>
  </si>
  <si>
    <t>Shirley M. Lang, life estate, remainder to Anthony Lee Lang, Steven Michael Lang, and Scott Joseph Lang</t>
  </si>
  <si>
    <t>Silverfish Energy LLC</t>
  </si>
  <si>
    <t>Silverwood Partners LP</t>
  </si>
  <si>
    <t>Source Minerals, LLC</t>
  </si>
  <si>
    <t>The Diane Lynn Koerner Trust, Hal B. Koerner, Jr. and Diane Lynn Koerner, as Co-Trustees</t>
  </si>
  <si>
    <t>The Donna L. Lemire Trust, U.W. dated January 5, 1996, John S. Steinberger, Jr. and Cheryl Keniston, Co-Trustees</t>
  </si>
  <si>
    <t>The Hal B. Koerner, Jr. Trust, Hal B. Koerner, Jr. and Diane Lynn Koerner, Co-Trustees</t>
  </si>
  <si>
    <t>The James C. Druyff Trust, James C. Druyff, Trustee</t>
  </si>
  <si>
    <t>The James H. Feldman Revocable Trust, James H. Feldman and Maralee M. Feldman, Trustees</t>
  </si>
  <si>
    <t>PO4</t>
  </si>
  <si>
    <t>The James V. Holland Trust, William Holland, Trustee</t>
  </si>
  <si>
    <t>The Lee A. Waldon and Marian E. Waldon Revocable Trust, Lee A. Waldon and Marian E. Waldon, Trustees</t>
  </si>
  <si>
    <t>The Lorraine Druyff Trust, James C. Druyff, Trustee</t>
  </si>
  <si>
    <t>The Maralee M. Feldman Revocable Trust, Maralee M. Feldman, Trustee</t>
  </si>
  <si>
    <t>The Ronald D. Anderson and Charla Ann Anderson Family Mineral Trust, Ronald D. Anderson and Charlie Duane Anderson, Co-Trustees</t>
  </si>
  <si>
    <t>Thomas Hagen Rogers</t>
  </si>
  <si>
    <t>Vernon E. Jones</t>
  </si>
  <si>
    <t>Whitefish Energy Partners, LP</t>
  </si>
  <si>
    <t>William Harry Lemire</t>
  </si>
  <si>
    <t>Everston Holdings LLC</t>
  </si>
  <si>
    <t>S &amp; E Royalty, LLC</t>
  </si>
  <si>
    <t>Barbara K Knox, life estate, remainder to Jennifer Fettig</t>
  </si>
  <si>
    <t>Benjamin Elliot</t>
  </si>
  <si>
    <t>Bole Resources LLC</t>
  </si>
  <si>
    <t>Cheryl R Keniston, life estate, James M Keniston , remainder, at his death Liane Waddington, Lindsey Ramirez and Lacey Averett , remainder</t>
  </si>
  <si>
    <t>Coit Energy LLC</t>
  </si>
  <si>
    <t>Daniel A Kutnink</t>
  </si>
  <si>
    <t>Darla J Guilbertson</t>
  </si>
  <si>
    <t>David R Fowler</t>
  </si>
  <si>
    <t>Deneille K Soine a/k/a Deneille Soine and Noble V Soine a/k/a Noble Soine, husband and wife as joint tenants</t>
  </si>
  <si>
    <t>Gerold A Klutnink</t>
  </si>
  <si>
    <t>James V Holland Trust, William Holland, Trustee</t>
  </si>
  <si>
    <t>Jana M Kutnink</t>
  </si>
  <si>
    <t>Jeffery Klatt</t>
  </si>
  <si>
    <t>Jody M Branham, life estate, remainder to Chase M Branham and Meredith B Rollins</t>
  </si>
  <si>
    <t>Julie A Kutnink</t>
  </si>
  <si>
    <t>Kelly Resources LLC</t>
  </si>
  <si>
    <t>Kristy Johnson</t>
  </si>
  <si>
    <t>KT Energy Inc</t>
  </si>
  <si>
    <t>Leer Resources Inc</t>
  </si>
  <si>
    <t>Louis T Hagen III</t>
  </si>
  <si>
    <t>MEL Energy Inc</t>
  </si>
  <si>
    <t>Overland Energy Partners V LLC</t>
  </si>
  <si>
    <t>Pamela R Steinberger f/k/a/ Pamela R Lemire</t>
  </si>
  <si>
    <t>Rebecca B LaFrage, life estate, remainder to Jack Leland LaFrage and Samuel Barnham LaFrage</t>
  </si>
  <si>
    <t>Richard C Mathis</t>
  </si>
  <si>
    <t>Rickie J Knox</t>
  </si>
  <si>
    <t>Robert Lewis Branham, Jr (LT) Robert, life estate, remainder to  Lewis Branham III and Sally Amanda Branham</t>
  </si>
  <si>
    <t>Sam B Fowler Jr</t>
  </si>
  <si>
    <t>Shelley F MacDonald</t>
  </si>
  <si>
    <t>Shirley Lang, life estate, remainder to Anthony Lee Lang, Steven Michael Land and Scott Joseph Lang</t>
  </si>
  <si>
    <t>Source Minerals LLC</t>
  </si>
  <si>
    <t>The Donna L Lemire Trust U.W, dated January 5, 1996, John S Steinberger and Cheryl R Keniston,  Co-Trustees</t>
  </si>
  <si>
    <t>William Henry Lemire a/k/a/ Bill Lemire</t>
  </si>
  <si>
    <t>10-13</t>
  </si>
  <si>
    <t>Brian Olson and Lynea Olson</t>
  </si>
  <si>
    <t>1-9</t>
  </si>
  <si>
    <t>28, 36</t>
  </si>
  <si>
    <t>Carrier Petroleum LLC</t>
  </si>
  <si>
    <t>16, 18</t>
  </si>
  <si>
    <t>Eagle Pass Properties LLC</t>
  </si>
  <si>
    <t>Ecliptic Energy LLC</t>
  </si>
  <si>
    <t>3, 19</t>
  </si>
  <si>
    <t>Falcon Petroleum LLC</t>
  </si>
  <si>
    <t>4,5,6</t>
  </si>
  <si>
    <t>Gary C Stewart</t>
  </si>
  <si>
    <t>Halliburton Energy Services (ORRI)</t>
  </si>
  <si>
    <t>10-14</t>
  </si>
  <si>
    <t>Kauffman Land &amp; Development LLC</t>
  </si>
  <si>
    <t>Kidder Investments LLC</t>
  </si>
  <si>
    <t>LPI Holdings LLC</t>
  </si>
  <si>
    <t>Northern Oil and Gas Inc (ORRI)</t>
  </si>
  <si>
    <t>1-7, 9</t>
  </si>
  <si>
    <t>Rose Exploration Inc</t>
  </si>
  <si>
    <t>S&amp;E Royalty LLC</t>
  </si>
  <si>
    <t>The Insightful Revocable Trust, Phillip A Kriz, Trustee</t>
  </si>
  <si>
    <t>Tim E Macke</t>
  </si>
  <si>
    <t>WTS Investments LLLP</t>
  </si>
  <si>
    <t>1,36-39</t>
  </si>
  <si>
    <t>36-39</t>
  </si>
  <si>
    <t>Northern Oil and Gas, Inc</t>
  </si>
  <si>
    <t>2-6,26</t>
  </si>
  <si>
    <t>1-5, 9</t>
  </si>
  <si>
    <t>WM ND Energy Resources II, LLC</t>
  </si>
  <si>
    <t>4-6, 16,18</t>
  </si>
  <si>
    <t>Allyson Gilliland</t>
  </si>
  <si>
    <t>Deborah K Gilliland (LT) Maggie Albers and Ally Gilliland (R)</t>
  </si>
  <si>
    <t>Margaret Albers</t>
  </si>
  <si>
    <t>Roberta Jean Miller Family Trust, Roberta Jean Miller, Trustee</t>
  </si>
  <si>
    <t>The Jay and Carol Gilliland Living Trust dated January 10, 2014, Carol Maureen Gilliland, Sole Surviving Trustee</t>
  </si>
  <si>
    <t>The Trust Created FBO Linda Schlaak under the Betty Grovogel Revocable Trust, Associated Trust Company NA, Trustee</t>
  </si>
  <si>
    <t>15-18</t>
  </si>
  <si>
    <t>3-6</t>
  </si>
  <si>
    <t>Northern Oil and Gas Inc. (ORRI)</t>
  </si>
  <si>
    <t>16,18,26,</t>
  </si>
  <si>
    <t>Northern Oil and Gas Inc</t>
  </si>
  <si>
    <t>2-6, 16</t>
  </si>
  <si>
    <t>1280 Royalties, LLC</t>
  </si>
  <si>
    <t>Cheryl R Keniston (LT), James M Keniston (R) at his death Liane Waddington, Lindsey Ramirez and Lacey Averett (R)</t>
  </si>
  <si>
    <t>Dakota National LLC</t>
  </si>
  <si>
    <t>David Holland</t>
  </si>
  <si>
    <t>Eldon R Holland</t>
  </si>
  <si>
    <t>Incline Bakken Minerals II LLC</t>
  </si>
  <si>
    <t>24</t>
  </si>
  <si>
    <t>Pamela R Steinberger f/k/a/ Pamela Rae Lemire</t>
  </si>
  <si>
    <t>Springbok Royalty Partners LLC</t>
  </si>
  <si>
    <t>TAHSSA Mineral Holdings LLC</t>
  </si>
  <si>
    <t>William Harry Lemire a/k/a Bill Lemire</t>
  </si>
  <si>
    <t>10-12</t>
  </si>
  <si>
    <t>25, 26</t>
  </si>
  <si>
    <t>Crafted Minerals LLC</t>
  </si>
  <si>
    <t>19-23</t>
  </si>
  <si>
    <t>Daniel W Bean, a Partnership</t>
  </si>
  <si>
    <t>3-6,21</t>
  </si>
  <si>
    <t>Eric L Root and Jacqueline S Root</t>
  </si>
  <si>
    <t>Halliburton Energy Services</t>
  </si>
  <si>
    <t>29, 30, 31, 35</t>
  </si>
  <si>
    <t>James P Oursland and Susan P Oursland</t>
  </si>
  <si>
    <t>Marguerite K Timbel and Ned R Timbel</t>
  </si>
  <si>
    <t>Morganthaler Oil &amp; Gas Holdings LLC</t>
  </si>
  <si>
    <t>Scott L Hajicek and Marilyn S Haicek</t>
  </si>
  <si>
    <t>The Hal B Koerner Jr Trust and the Diane Lynn Koerner Trust, Hall B Koerner Jr and Diane Lynn Koerner, Trustees</t>
  </si>
  <si>
    <t>The Lorraine Druyff Trust dated May 25, 2006 and the James C Druyff Trust dated May 25, 2006 James C Druyff, Trustee</t>
  </si>
  <si>
    <t>Granite Ridge Holdings LLC</t>
  </si>
  <si>
    <t>1, 37-40</t>
  </si>
  <si>
    <t>1,37-40</t>
  </si>
  <si>
    <t>29-31, 35</t>
  </si>
  <si>
    <t>Northern Oil and Gas InC</t>
  </si>
  <si>
    <t>2-6, 21, 26</t>
  </si>
  <si>
    <t>Vitesse Energy LLC</t>
  </si>
  <si>
    <t>40,41</t>
  </si>
  <si>
    <t>Carol E Anderson</t>
  </si>
  <si>
    <t>27, 28</t>
  </si>
  <si>
    <t>R.A.A. LLC</t>
  </si>
  <si>
    <t>Robert E Jones</t>
  </si>
  <si>
    <t>The James H Fledman Revocable Trust Dated April 19, 2004, James H Feldman and Maralee M Feldman, Trustees</t>
  </si>
  <si>
    <t>The Maralee M Feldman Revocable Trust dated April 19, 2004, Maralee M Feldman and James H Feldman, Trustees</t>
  </si>
  <si>
    <t>The Ronald D Anderson and Charla Ann Anderson Family Mineral Trust, Ronald D Anderson and Charlie Duane Anderson, Trustees</t>
  </si>
  <si>
    <t>28, 29</t>
  </si>
  <si>
    <t>Vernon E Jones</t>
  </si>
  <si>
    <t>33, 34</t>
  </si>
  <si>
    <t>27-32</t>
  </si>
  <si>
    <t>27-34</t>
  </si>
  <si>
    <t>1, 8, 37, 39</t>
  </si>
  <si>
    <t>1, 8, 36, 37</t>
  </si>
  <si>
    <t>1,8</t>
  </si>
  <si>
    <t>1, 8, 37</t>
  </si>
  <si>
    <t>33,34</t>
  </si>
  <si>
    <t>Empire Oil Company</t>
  </si>
  <si>
    <t>Shaylie Ake</t>
  </si>
  <si>
    <t>The Merle and Madalyn Helland Revocable Living Trust dated October 17, 2024</t>
  </si>
  <si>
    <t>Incline Bakken II LLC</t>
  </si>
  <si>
    <t>29-31,35</t>
  </si>
  <si>
    <t>36,37</t>
  </si>
  <si>
    <t>38,39</t>
  </si>
  <si>
    <t>43, 46</t>
  </si>
  <si>
    <t>Boot Creek Royalty Ltd</t>
  </si>
  <si>
    <t>44</t>
  </si>
  <si>
    <t>Bridgepoint Mineral Acquisition Fund 2 LLLC</t>
  </si>
  <si>
    <t>CCP Properties, LLC</t>
  </si>
  <si>
    <t>43, 47</t>
  </si>
  <si>
    <t>37-39</t>
  </si>
  <si>
    <t>43, 51</t>
  </si>
  <si>
    <t>Leer Resources, Inc</t>
  </si>
  <si>
    <t>43, 49</t>
  </si>
  <si>
    <t>43, 50</t>
  </si>
  <si>
    <t>Momentum Minerals Operating II  LP</t>
  </si>
  <si>
    <t>40, 41, 47, 48</t>
  </si>
  <si>
    <t>Polatchek Energy LLC</t>
  </si>
  <si>
    <t>43, 48</t>
  </si>
  <si>
    <t>Trident Holdings LLC</t>
  </si>
  <si>
    <t>43, 52</t>
  </si>
  <si>
    <t>Will Henning aka Will A Henning, Life Estate. Nancy Henning and Daren Henning (R)</t>
  </si>
  <si>
    <t>50</t>
  </si>
  <si>
    <t>None</t>
  </si>
  <si>
    <t>Castle Peak Energy LLC</t>
  </si>
  <si>
    <t>40-48</t>
  </si>
  <si>
    <t>Continental Resources Inc</t>
  </si>
  <si>
    <t>49-50</t>
  </si>
  <si>
    <t>Black Stone Minerals LP</t>
  </si>
  <si>
    <t>Chaparral Royalty Company</t>
  </si>
  <si>
    <t>Colonial Royalties Limited Partnership</t>
  </si>
  <si>
    <t>57</t>
  </si>
  <si>
    <t>Hard Luck Oil Properties, LLC</t>
  </si>
  <si>
    <t>51</t>
  </si>
  <si>
    <t>Mary Ellen Slemaker Benien</t>
  </si>
  <si>
    <t>55</t>
  </si>
  <si>
    <t>Missouri River Royalty Corporation</t>
  </si>
  <si>
    <t>Northern Energy Corporation</t>
  </si>
  <si>
    <t>PEC Minerals LP</t>
  </si>
  <si>
    <t>52</t>
  </si>
  <si>
    <t>Pentagon Oil Company</t>
  </si>
  <si>
    <t>56</t>
  </si>
  <si>
    <t>The Margaret S Wirick Trust dated August 26,1997, Amended June 7, 2002, H L Wirick, Jr, Trustee</t>
  </si>
  <si>
    <t>54</t>
  </si>
  <si>
    <t>The Richard W Slemaker Jr and Margaret A Slemaker Revocable Living Trust dated August 27, 2007,  Margaret A Slemaker, Trustee</t>
  </si>
  <si>
    <t>53</t>
  </si>
  <si>
    <t>Twin City Technical LLC</t>
  </si>
  <si>
    <t>Don Leroy Pederson (LT)
Kristine Hanson, Jeremy Pederson,and Jenell Sibbald (R) and TIC</t>
  </si>
  <si>
    <t>51-58</t>
  </si>
  <si>
    <t>54-56</t>
  </si>
  <si>
    <t>51-60</t>
  </si>
  <si>
    <t>Haliburton Energy Services Inc</t>
  </si>
  <si>
    <t>56-58</t>
  </si>
  <si>
    <t>M-3 Royalties LLC</t>
  </si>
  <si>
    <t>53-55</t>
  </si>
  <si>
    <t>Thomas Hendricks</t>
  </si>
  <si>
    <t>WR Operating LLC</t>
  </si>
  <si>
    <t>Hess Bakken Investments II LLC</t>
  </si>
  <si>
    <t>PEC Exploration LLP</t>
  </si>
  <si>
    <t>WM ND Energy Resources LLC</t>
  </si>
  <si>
    <t>15,33,34</t>
  </si>
  <si>
    <t>27-29</t>
  </si>
  <si>
    <t>1, 36, 38,39</t>
  </si>
  <si>
    <t>1, 36-39</t>
  </si>
  <si>
    <t>AllDale Minerals II, LP</t>
  </si>
  <si>
    <t>Arden D. Solberg Family Mineral Trust dated November 4, 2015, Charlene Shroyer, Trustee</t>
  </si>
  <si>
    <t>Beth M. Simpson</t>
  </si>
  <si>
    <t>Brantley Family Trust dated June 27, 2002, Loretta J. Brantley, Trustee</t>
  </si>
  <si>
    <t>Brooks Energy, Inc.</t>
  </si>
  <si>
    <t>C-B Holdings Northwest Revocable Trust, Catherine A. Westergaard, Trustee</t>
  </si>
  <si>
    <t>CJC Energy, Inc.</t>
  </si>
  <si>
    <t>Carter Stewart</t>
  </si>
  <si>
    <t>Charlene M. Shroyer</t>
  </si>
  <si>
    <t>Eldon R. Holland</t>
  </si>
  <si>
    <t>Forestwood Holdings Northwest Revocable Trust, Frederick Alan Westergaard, Trustee</t>
  </si>
  <si>
    <t>GREP William LLC</t>
  </si>
  <si>
    <t>GREP Wolverine LLC</t>
  </si>
  <si>
    <t>Green Wing Royalty, LLC</t>
  </si>
  <si>
    <t>JAG Oil Company Limited Partnership</t>
  </si>
  <si>
    <t>JRB Investments, LLC</t>
  </si>
  <si>
    <t>James H. Feldman Revocable Trust dated April 19, 2004, James H. Feldman and Maralee M. Feldman, Trustees</t>
  </si>
  <si>
    <t>Jones Living Trust dated May 23, 1996, Robert E. Jones and Darlene L. Jones, Co-Trustees</t>
  </si>
  <si>
    <t>Lee A. Waldon and Marian E. Waldon Revocable Trust dated October 8, 2008, Lee A. Waldon and Marian E. Waldon, Trustees</t>
  </si>
  <si>
    <t>MBI Overrides, LLC</t>
  </si>
  <si>
    <t>Maralee M. Feldman Revocable Trust dated April 19, 2004, Maralee M. Feldman and James H. Feldman, Trustees</t>
  </si>
  <si>
    <t>Mary Ellen Matchette</t>
  </si>
  <si>
    <t>Merle and Madalyn Helland Revocable Living Trust dated October 17, 2024, First State Bank &amp; Trust, Trustee</t>
  </si>
  <si>
    <t>Noble Royalty Access Fund 12 LP</t>
  </si>
  <si>
    <t>Noble Royalty Access Fund XI LP</t>
  </si>
  <si>
    <t>Outdoor Entourage, Inc.</t>
  </si>
  <si>
    <t>Paris Land Company, LLC</t>
  </si>
  <si>
    <t>Silver Hill III Bakken E&amp;P, LLC</t>
  </si>
  <si>
    <t>Silver Hill IV Bakken E&amp;P, LLC</t>
  </si>
  <si>
    <t>Tom Holland</t>
  </si>
  <si>
    <t>Woodfield International Holdings Revocable Trust, Jon R. Westergaard, Trustee</t>
  </si>
  <si>
    <t>Acres</t>
  </si>
  <si>
    <t>Tract</t>
  </si>
  <si>
    <t>Legal Description</t>
  </si>
  <si>
    <t>Interest in Unit</t>
  </si>
  <si>
    <t>Prior Opinion</t>
  </si>
  <si>
    <t>Section 13: A m&amp;b tract in the NW/4</t>
  </si>
  <si>
    <t>Section 13: N/2 less and except a m&amp;b tract in the NW/4</t>
  </si>
  <si>
    <t>Section 13: N/2 SW/4, SE/4</t>
  </si>
  <si>
    <t>Section 13: S/2 SW/4</t>
  </si>
  <si>
    <t>TOTAL UNIT ACRES</t>
  </si>
  <si>
    <t>Section 14: NE/4</t>
  </si>
  <si>
    <t>Section 14: NW/4</t>
  </si>
  <si>
    <t>Section 14: SW/4</t>
  </si>
  <si>
    <t>Section 14: SE/4</t>
  </si>
  <si>
    <t>Section 23: N/2 NE/4, SW/4 NE/4</t>
  </si>
  <si>
    <t>Section 23: SE/4 NE/4</t>
  </si>
  <si>
    <t>Section 23: NW/4</t>
  </si>
  <si>
    <t>Section 23: SW/4</t>
  </si>
  <si>
    <t>Section 23: SE/4</t>
  </si>
  <si>
    <t>1A</t>
  </si>
  <si>
    <t>1B</t>
  </si>
  <si>
    <t>LANDS</t>
  </si>
  <si>
    <t>State</t>
  </si>
  <si>
    <t>County</t>
  </si>
  <si>
    <t>Section</t>
  </si>
  <si>
    <t>Township</t>
  </si>
  <si>
    <t>Range</t>
  </si>
  <si>
    <t>North Dakota</t>
  </si>
  <si>
    <t>Williams</t>
  </si>
  <si>
    <t>157N</t>
  </si>
  <si>
    <t>97W</t>
  </si>
  <si>
    <t>Willaims</t>
  </si>
  <si>
    <t>Owner Name</t>
  </si>
  <si>
    <t>Address Source</t>
  </si>
  <si>
    <t>Street</t>
  </si>
  <si>
    <t>City</t>
  </si>
  <si>
    <t>Zip</t>
  </si>
  <si>
    <t>5460 South Quebec Street, Suite 335</t>
  </si>
  <si>
    <t>Greenwood Village</t>
  </si>
  <si>
    <t>CO</t>
  </si>
  <si>
    <t>220 Avenue D East</t>
  </si>
  <si>
    <t>Bismarck</t>
  </si>
  <si>
    <t>ND</t>
  </si>
  <si>
    <t>2100 Ross Ave., Ste. 1870, LB-9</t>
  </si>
  <si>
    <t>Dallas</t>
  </si>
  <si>
    <t>TX</t>
  </si>
  <si>
    <t>2100 Ross Avenue, Suite 1870, LB-9</t>
  </si>
  <si>
    <t>5390 123rd Avenue NW</t>
  </si>
  <si>
    <t>Epping</t>
  </si>
  <si>
    <t>2305 Washo Circle</t>
  </si>
  <si>
    <t>Colorado Springs</t>
  </si>
  <si>
    <t>1431 Eastwood Street</t>
  </si>
  <si>
    <t>58504-6227</t>
  </si>
  <si>
    <t>5232 West Capri Place</t>
  </si>
  <si>
    <t>Littleton</t>
  </si>
  <si>
    <t>21 Dowd Court</t>
  </si>
  <si>
    <t>Kimball</t>
  </si>
  <si>
    <t>NE</t>
  </si>
  <si>
    <t>2310 13th Ave. West</t>
  </si>
  <si>
    <t>Williston</t>
  </si>
  <si>
    <t>3867 River Drive South</t>
  </si>
  <si>
    <t>Fargo</t>
  </si>
  <si>
    <t>58104-6421</t>
  </si>
  <si>
    <t>Barbara A. Knox (LT)</t>
  </si>
  <si>
    <t>1240 Glacial Dr., #3</t>
  </si>
  <si>
    <t>Minot</t>
  </si>
  <si>
    <t>Jennifer Fettig (RE)</t>
  </si>
  <si>
    <t>818 Park Drive</t>
  </si>
  <si>
    <t>Barbara K Knox (LT)</t>
  </si>
  <si>
    <t>1000 Jill Ave. #13</t>
  </si>
  <si>
    <t>Harvey</t>
  </si>
  <si>
    <t>14600 NW 98th Street</t>
  </si>
  <si>
    <t>Raymond</t>
  </si>
  <si>
    <t>7 Belk Drive</t>
  </si>
  <si>
    <t>Lincoln</t>
  </si>
  <si>
    <t>5660 Caney Ridge Circle</t>
  </si>
  <si>
    <t>Ooltewah</t>
  </si>
  <si>
    <t>TN</t>
  </si>
  <si>
    <t>1001 Fannin Street 2020</t>
  </si>
  <si>
    <t>Houston</t>
  </si>
  <si>
    <t>77002-6709</t>
  </si>
  <si>
    <t>P.O. Box 1116</t>
  </si>
  <si>
    <t>PO Box 3509</t>
  </si>
  <si>
    <t>Midland,</t>
  </si>
  <si>
    <r>
      <t>612 10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Ave. SE</t>
    </r>
  </si>
  <si>
    <t>Waseca</t>
  </si>
  <si>
    <t>MN</t>
  </si>
  <si>
    <t>690 Westgate St.</t>
  </si>
  <si>
    <t>Pasadena</t>
  </si>
  <si>
    <t>CA</t>
  </si>
  <si>
    <t>624 Pearl Street, Apt. 302</t>
  </si>
  <si>
    <t>Boulder</t>
  </si>
  <si>
    <t>80302-5072</t>
  </si>
  <si>
    <t>624 Pearl St., Apt. 302</t>
  </si>
  <si>
    <t>P.O. Box 1313</t>
  </si>
  <si>
    <t>PO Box 10457</t>
  </si>
  <si>
    <t>1533 Creekside Drive W</t>
  </si>
  <si>
    <t>1605 23rd Street West</t>
  </si>
  <si>
    <t>Carol E. Anderson (LT)</t>
  </si>
  <si>
    <t>P.O. Box 66</t>
  </si>
  <si>
    <t>Ray</t>
  </si>
  <si>
    <t>Ronald D. Anderson (RE)</t>
  </si>
  <si>
    <t>77 Sugar Creek Center Blvd., Suite 550</t>
  </si>
  <si>
    <t>Sugar Land</t>
  </si>
  <si>
    <t>710 Grand Ave., Ste. 7</t>
  </si>
  <si>
    <t>Billings</t>
  </si>
  <si>
    <t>MT</t>
  </si>
  <si>
    <t>1512 Larimer Street, Suite 550</t>
  </si>
  <si>
    <t>Denver</t>
  </si>
  <si>
    <t>11056 35th Avenue NE</t>
  </si>
  <si>
    <t>Seattle</t>
  </si>
  <si>
    <t>WA</t>
  </si>
  <si>
    <t>P.O. Box 456</t>
  </si>
  <si>
    <t>PO Box 66687</t>
  </si>
  <si>
    <t xml:space="preserve">TX </t>
  </si>
  <si>
    <t>Cheryl R Keniston (LT)</t>
  </si>
  <si>
    <t>22114 Hoskins Road</t>
  </si>
  <si>
    <t>Caldwell</t>
  </si>
  <si>
    <t>ID</t>
  </si>
  <si>
    <t>James M Keniston (RE)</t>
  </si>
  <si>
    <t>Liane Waddington (RE)</t>
  </si>
  <si>
    <t>Lindsey Ramirez (RE)</t>
  </si>
  <si>
    <t>Lacey Averett (RE)</t>
  </si>
  <si>
    <t>1902 16th Court W</t>
  </si>
  <si>
    <t>12400 Coit Road, Suite 1000</t>
  </si>
  <si>
    <t>PO Box 3460</t>
  </si>
  <si>
    <t>Broken Arrow</t>
  </si>
  <si>
    <t>OK</t>
  </si>
  <si>
    <t>74013-3460</t>
  </si>
  <si>
    <t>P.O. Box 1483</t>
  </si>
  <si>
    <t>Veneta</t>
  </si>
  <si>
    <t>OR</t>
  </si>
  <si>
    <t>P.O. 269091</t>
  </si>
  <si>
    <t>Oklahoma City</t>
  </si>
  <si>
    <t>PO Box 486</t>
  </si>
  <si>
    <t xml:space="preserve">MT </t>
  </si>
  <si>
    <t>PO Box 791</t>
  </si>
  <si>
    <t>Bismark</t>
  </si>
  <si>
    <t>58502-0791</t>
  </si>
  <si>
    <t>1217 8th Avenue West</t>
  </si>
  <si>
    <t>3591 250th Street</t>
  </si>
  <si>
    <t>Farmington</t>
  </si>
  <si>
    <t>1803 23rd Street West</t>
  </si>
  <si>
    <t>11908 S. Foxton Road</t>
  </si>
  <si>
    <t>Conifer</t>
  </si>
  <si>
    <t xml:space="preserve">CO </t>
  </si>
  <si>
    <t>26009 422nd Street</t>
  </si>
  <si>
    <t>Brownsville</t>
  </si>
  <si>
    <t>56438-4466</t>
  </si>
  <si>
    <t>169 Big Oak Lane</t>
  </si>
  <si>
    <t>Wildwood</t>
  </si>
  <si>
    <t>FL</t>
  </si>
  <si>
    <t>304 Hallam</t>
  </si>
  <si>
    <t>Erlanger</t>
  </si>
  <si>
    <t>KY</t>
  </si>
  <si>
    <t>223 Mariners Cove, Yacht Harbor</t>
  </si>
  <si>
    <t>Columbia</t>
  </si>
  <si>
    <t>SC</t>
  </si>
  <si>
    <t>Dawn Rustad (LT)</t>
  </si>
  <si>
    <t>P.O. Box 169</t>
  </si>
  <si>
    <t>58802-0169</t>
  </si>
  <si>
    <t>Jennifer Wright (RE)</t>
  </si>
  <si>
    <t>Joshua Rustad (RE)</t>
  </si>
  <si>
    <t>Jared Rustad (RE)</t>
  </si>
  <si>
    <t>Jamie Williams (RE)</t>
  </si>
  <si>
    <t>Deborah K Gilliland (LT)</t>
  </si>
  <si>
    <t>4343 Red Cliff Terrace</t>
  </si>
  <si>
    <t>Rapid City</t>
  </si>
  <si>
    <t>SD</t>
  </si>
  <si>
    <t>Maggie Albers (RE)</t>
  </si>
  <si>
    <t>Ally Gilliland (RE)</t>
  </si>
  <si>
    <t>503 Main Street</t>
  </si>
  <si>
    <t>P.O. Box 81650</t>
  </si>
  <si>
    <t>6721 115th Avenue NW</t>
  </si>
  <si>
    <t>P.O. Box 928</t>
  </si>
  <si>
    <t>Morrison</t>
  </si>
  <si>
    <t>1250 S. Buckley Road, Suite I-198</t>
  </si>
  <si>
    <t>Aurora</t>
  </si>
  <si>
    <t>17401 SE 39th St., #31</t>
  </si>
  <si>
    <t>Vancouver</t>
  </si>
  <si>
    <t>P.O. Box 2906</t>
  </si>
  <si>
    <t>Conroe</t>
  </si>
  <si>
    <t>42 Edgemire Place</t>
  </si>
  <si>
    <t>The Woodlands</t>
  </si>
  <si>
    <t>P.O. Box 1448</t>
  </si>
  <si>
    <t>Sidney</t>
  </si>
  <si>
    <t>P.O. Box 344</t>
  </si>
  <si>
    <t>PO Box 1835</t>
  </si>
  <si>
    <t>58806-1835</t>
  </si>
  <si>
    <t>3943 S. Newport Way</t>
  </si>
  <si>
    <t>P.O. Box 397</t>
  </si>
  <si>
    <t>Evertson Energy Partners Royalty, LLC</t>
  </si>
  <si>
    <t>6450 E. Prentice Place</t>
  </si>
  <si>
    <r>
      <t>9181 W. 75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Place</t>
    </r>
  </si>
  <si>
    <t>Arvada</t>
  </si>
  <si>
    <t>370 NE Camano Drive, 5-222</t>
  </si>
  <si>
    <t>Camano Island</t>
  </si>
  <si>
    <t>240 5th Street East, Apt. #608</t>
  </si>
  <si>
    <t>St. Paul</t>
  </si>
  <si>
    <t>2511 Juniper Court</t>
  </si>
  <si>
    <t>Golden</t>
  </si>
  <si>
    <t>12290 First Street</t>
  </si>
  <si>
    <t>305 Ash Court</t>
  </si>
  <si>
    <t>Evans</t>
  </si>
  <si>
    <t>5217 McKinney Avenue, Suite 400</t>
  </si>
  <si>
    <t>13918 Whitetail Circle</t>
  </si>
  <si>
    <t>P.O. Box 597</t>
  </si>
  <si>
    <t>2911 Turtle Creek Blvd., Suite 1150</t>
  </si>
  <si>
    <t>1675 Broadway, Suite 2800</t>
  </si>
  <si>
    <t>6811 Hillridge Place</t>
  </si>
  <si>
    <t>Parker</t>
  </si>
  <si>
    <t>Hal B. Koerner, Jr. Trust and Diane Lynn Koerner Trust, as tenants in common, Hal B. Koerner, Jr. and Diane Lynn Koerner, Co-Trustees</t>
  </si>
  <si>
    <t>3000 N. Sam Houston Parkway E.</t>
  </si>
  <si>
    <t>PO Box 1435</t>
  </si>
  <si>
    <t>58502-1435</t>
  </si>
  <si>
    <t>540 G Street, Box 251</t>
  </si>
  <si>
    <t>Eagle</t>
  </si>
  <si>
    <t>1501 McKinney Street</t>
  </si>
  <si>
    <t>4645 N. Central Expressway, Suite 100</t>
  </si>
  <si>
    <t>P.O. Box 2356</t>
  </si>
  <si>
    <t>P.O. Box 4190</t>
  </si>
  <si>
    <t>Scottsdale</t>
  </si>
  <si>
    <t>AZ</t>
  </si>
  <si>
    <t>James C. Druyff Trust dated May 25, 2006, James C. Druyff, Trustee, and the Lorraine Druyff Trust dated May 25, 2006, James C. Druyff, Successor Trustee, as tenants in common</t>
  </si>
  <si>
    <t>9251 E. Jewell Circle</t>
  </si>
  <si>
    <t>Avenue Louise 248/21</t>
  </si>
  <si>
    <t>Brussels</t>
  </si>
  <si>
    <t>Belgium</t>
  </si>
  <si>
    <t xml:space="preserve">James H. Feldman and Maralee M. Feldman, as Trustees of the James H. Feldman Revocable Trust dated 4/19/04 </t>
  </si>
  <si>
    <t>10993 Stanton Boulevard</t>
  </si>
  <si>
    <t>Northfield</t>
  </si>
  <si>
    <t>10993 Stanton Blvd.</t>
  </si>
  <si>
    <t>6976 Orchard Court</t>
  </si>
  <si>
    <t>5012 S. Wallace Lane</t>
  </si>
  <si>
    <t>Holladay,</t>
  </si>
  <si>
    <t>UT</t>
  </si>
  <si>
    <t>3671 250th Street</t>
  </si>
  <si>
    <t xml:space="preserve">Jeffery Klatt </t>
  </si>
  <si>
    <t>1704 S. Mitchell St.</t>
  </si>
  <si>
    <t>Casper,</t>
  </si>
  <si>
    <t>WY</t>
  </si>
  <si>
    <t>Jody M Branham (LT)</t>
  </si>
  <si>
    <t>3141 Foxmeade Dr.</t>
  </si>
  <si>
    <t>Matthews</t>
  </si>
  <si>
    <t>NC</t>
  </si>
  <si>
    <t>Chase M Branham (RE)</t>
  </si>
  <si>
    <t>Meredith B Rollins (RE)</t>
  </si>
  <si>
    <t>11 Palm Ave.</t>
  </si>
  <si>
    <t>Napa</t>
  </si>
  <si>
    <t>1040 12th Street East</t>
  </si>
  <si>
    <t>Dickinson</t>
  </si>
  <si>
    <t>12905 Washburn Court</t>
  </si>
  <si>
    <t>Burnsville</t>
  </si>
  <si>
    <t>55337-1983</t>
  </si>
  <si>
    <r>
      <t>5283 50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Ave. So.</t>
    </r>
  </si>
  <si>
    <t>303 S. Union St., Unit#1</t>
  </si>
  <si>
    <t>Traverse City</t>
  </si>
  <si>
    <t>1406 1st Avenue East</t>
  </si>
  <si>
    <t>Box 292</t>
  </si>
  <si>
    <t>Glenburn</t>
  </si>
  <si>
    <t>58740-0292</t>
  </si>
  <si>
    <t>1146 S. Cedar Crest Blvd.</t>
  </si>
  <si>
    <t>Allentown</t>
  </si>
  <si>
    <t>PA</t>
  </si>
  <si>
    <t>9457 S. University #519</t>
  </si>
  <si>
    <t>Highlands Ranch</t>
  </si>
  <si>
    <t xml:space="preserve"> CO</t>
  </si>
  <si>
    <t>1010 North Davis</t>
  </si>
  <si>
    <t>Helena</t>
  </si>
  <si>
    <t>P.O. Box 77</t>
  </si>
  <si>
    <t xml:space="preserve">KT Energy Inc </t>
  </si>
  <si>
    <t>PO Box 727</t>
  </si>
  <si>
    <t>Spearfish</t>
  </si>
  <si>
    <t>1802 23rd Street West</t>
  </si>
  <si>
    <t>6629 Jonquil Way</t>
  </si>
  <si>
    <t>Maple Grove</t>
  </si>
  <si>
    <t>502 Christina West</t>
  </si>
  <si>
    <t>Hilger</t>
  </si>
  <si>
    <t>7963 Eagle Peak Way</t>
  </si>
  <si>
    <t>Antelope</t>
  </si>
  <si>
    <t>103 Douglas Drive</t>
  </si>
  <si>
    <t>Buffalo</t>
  </si>
  <si>
    <t>231 60th Place Southeast</t>
  </si>
  <si>
    <t>Everett</t>
  </si>
  <si>
    <t>912 Alberta Ave.</t>
  </si>
  <si>
    <t>703 4th Avenue West</t>
  </si>
  <si>
    <r>
      <t>890 11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St. NE</t>
    </r>
  </si>
  <si>
    <t>Thompson</t>
  </si>
  <si>
    <t>3209 Channel Drive</t>
  </si>
  <si>
    <t>Stevens Point</t>
  </si>
  <si>
    <t>13420 Grandview Drive</t>
  </si>
  <si>
    <t>13251 Seaside Harbor Dr.</t>
  </si>
  <si>
    <t>N. Ft. Myers</t>
  </si>
  <si>
    <t>1408 SD Highway 10</t>
  </si>
  <si>
    <t>Sisseton</t>
  </si>
  <si>
    <t>P.O. Box 20523</t>
  </si>
  <si>
    <t>59104-0523</t>
  </si>
  <si>
    <t>633 12th Street North</t>
  </si>
  <si>
    <t>New Town</t>
  </si>
  <si>
    <t>5272 East Otero Drive</t>
  </si>
  <si>
    <t>Centennial</t>
  </si>
  <si>
    <t>Maralee M. Feldman and James H. Feldman, as Trustees of the Maralee M. Feldman Revocable Trust dated 4/19/04</t>
  </si>
  <si>
    <t>2216 Shorthorn Dr.</t>
  </si>
  <si>
    <t>Pueblo</t>
  </si>
  <si>
    <t>Marguerite K Timbel</t>
  </si>
  <si>
    <t>PO</t>
  </si>
  <si>
    <t>6500 W. Mansfield Avenue, Apt. 19</t>
  </si>
  <si>
    <t xml:space="preserve">Marlene Donnelly </t>
  </si>
  <si>
    <t>P.O. Box 373</t>
  </si>
  <si>
    <t>8616 SW 103rd Ave.</t>
  </si>
  <si>
    <t>Miami</t>
  </si>
  <si>
    <t>PO Box 701407</t>
  </si>
  <si>
    <t>Tulsa</t>
  </si>
  <si>
    <t>74170-1407</t>
  </si>
  <si>
    <t>661 Flowerwood Drive, SE</t>
  </si>
  <si>
    <t>Palm Bay</t>
  </si>
  <si>
    <t>P.O. Box 7</t>
  </si>
  <si>
    <t>Belfield</t>
  </si>
  <si>
    <t>4731 Mellowsun Drive</t>
  </si>
  <si>
    <t xml:space="preserve">MEL Energy Inc </t>
  </si>
  <si>
    <t>4721 Kites Lane</t>
  </si>
  <si>
    <t>P.O. Box 1827</t>
  </si>
  <si>
    <t>P.O. Box 55285</t>
  </si>
  <si>
    <t>918 E. Divide Avenue</t>
  </si>
  <si>
    <t>153 6th Street</t>
  </si>
  <si>
    <t>Gardner</t>
  </si>
  <si>
    <t>750 Town &amp; Country Blvd., Suite 420</t>
  </si>
  <si>
    <t>P.O. Box 670</t>
  </si>
  <si>
    <t>Bullard</t>
  </si>
  <si>
    <t>PO Box 50185</t>
  </si>
  <si>
    <t>63 West Street</t>
  </si>
  <si>
    <t>Greenwood</t>
  </si>
  <si>
    <t>6500 West Mansfield Ave., #19</t>
  </si>
  <si>
    <t>12139 Luckey Summit</t>
  </si>
  <si>
    <t>San Antonio</t>
  </si>
  <si>
    <t>Noble Royalty Access Fund 12</t>
  </si>
  <si>
    <t>15601 North Dallas Parkway, Ste. 900</t>
  </si>
  <si>
    <t>Addison</t>
  </si>
  <si>
    <t>Noble Royalty Access Fund 13</t>
  </si>
  <si>
    <t>1888 Sherman Street, Suite 375</t>
  </si>
  <si>
    <t>PO Box 2283</t>
  </si>
  <si>
    <t>58502-2283</t>
  </si>
  <si>
    <t>4350  Baker Road, Suite 400</t>
  </si>
  <si>
    <t>Minnetonka</t>
  </si>
  <si>
    <t>44 Cook Street, Suite 650</t>
  </si>
  <si>
    <t>P.O. Box 566</t>
  </si>
  <si>
    <t>Kenmare</t>
  </si>
  <si>
    <t>P.O. Box 366</t>
  </si>
  <si>
    <t>14860 Monfort Drive, Suite 209</t>
  </si>
  <si>
    <t>35019 County Road 122</t>
  </si>
  <si>
    <t>PO Box 399</t>
  </si>
  <si>
    <t>Kilgore</t>
  </si>
  <si>
    <t>P.O. Box 101382</t>
  </si>
  <si>
    <t>2101 Cedar Springs Road, Suite 600</t>
  </si>
  <si>
    <t>PO Box 675545</t>
  </si>
  <si>
    <t>Rancho Santa Fe</t>
  </si>
  <si>
    <t>1695 Clara Avenue</t>
  </si>
  <si>
    <t>Fortuna</t>
  </si>
  <si>
    <t>860 W. 132nd Avenue, Sp. 166</t>
  </si>
  <si>
    <t>Westminster</t>
  </si>
  <si>
    <t>Rebecca B LaFrage (LT)</t>
  </si>
  <si>
    <t>11 Egret Cove</t>
  </si>
  <si>
    <t>Camden</t>
  </si>
  <si>
    <t>Jack Leland LaFrage (RE)</t>
  </si>
  <si>
    <t>Samuel Barnham LaFrage (RE)</t>
  </si>
  <si>
    <t>1007 8th Street West</t>
  </si>
  <si>
    <t>Fairview</t>
  </si>
  <si>
    <t>26961 Hwy 57</t>
  </si>
  <si>
    <t>Priest River</t>
  </si>
  <si>
    <t>32730 Wingfoot Circle</t>
  </si>
  <si>
    <t>Weston</t>
  </si>
  <si>
    <t>11 Palm Avenue</t>
  </si>
  <si>
    <t>Robert Lewis Branham Jr (LT)</t>
  </si>
  <si>
    <t>P.O. Box 2415</t>
  </si>
  <si>
    <t>North Myrtle Beach</t>
  </si>
  <si>
    <t>Lewis Branham III (RE)</t>
  </si>
  <si>
    <t>Sally Amanda Branham (RE)</t>
  </si>
  <si>
    <t>950 Foster Drive</t>
  </si>
  <si>
    <t>518-17th Street, Suite 1000</t>
  </si>
  <si>
    <t>7858 Lake Thomas Road</t>
  </si>
  <si>
    <t>8470 West 4th Avenue</t>
  </si>
  <si>
    <t>Lakewood</t>
  </si>
  <si>
    <t>1525 Appling Drive</t>
  </si>
  <si>
    <t>Mount Pleasant</t>
  </si>
  <si>
    <t>1007 West 8th Street</t>
  </si>
  <si>
    <t>Scott L Hajicek and Marilyn S Hajicek</t>
  </si>
  <si>
    <t>2980 S. Newcombe Way</t>
  </si>
  <si>
    <t>104 E. 107th Avenue</t>
  </si>
  <si>
    <t>Northglenn</t>
  </si>
  <si>
    <t>312 4th Avenue South</t>
  </si>
  <si>
    <t>Shirley M. Lang (LT)</t>
  </si>
  <si>
    <t>P.O. Box 124</t>
  </si>
  <si>
    <t>Marathon</t>
  </si>
  <si>
    <t>Anthony Lee Lang (RE)</t>
  </si>
  <si>
    <t>Steven Michael Lang (RE)</t>
  </si>
  <si>
    <t>Scott Joseph Lang (RE)</t>
  </si>
  <si>
    <t>2850 N. Harwood Street, Suite 1600</t>
  </si>
  <si>
    <t>25 Highland Park Village, Suite 100-766</t>
  </si>
  <si>
    <t>401 North Carolina, Suite 421</t>
  </si>
  <si>
    <t>Southlake</t>
  </si>
  <si>
    <t>5925 Forest Lane, Suite 410</t>
  </si>
  <si>
    <t>5945 Sherry Lane, Suite 1635</t>
  </si>
  <si>
    <t>5949 Sherry Lane, Suite 960</t>
  </si>
  <si>
    <t>P.O. Box 230</t>
  </si>
  <si>
    <t>Crosby</t>
  </si>
  <si>
    <t>705 70th Street East</t>
  </si>
  <si>
    <t>PO Box 1751</t>
  </si>
  <si>
    <t>58502-1751</t>
  </si>
  <si>
    <t>13326 Highway 1804</t>
  </si>
  <si>
    <t>319 8th Street, Apr. 2</t>
  </si>
  <si>
    <t>Belgrade</t>
  </si>
  <si>
    <t xml:space="preserve">The Diane Lynn Koerner Trust, Hal B. Koerner, Jr. and Diane Lynn Koerner, as Co-Trustees </t>
  </si>
  <si>
    <t xml:space="preserve">The Hal B. Koerner, Jr. Trust, Hal B. Koerner, Jr. and Diane Lynn Koerner, Co-Trustees </t>
  </si>
  <si>
    <t>305 West. Brierwood</t>
  </si>
  <si>
    <t>Spokane</t>
  </si>
  <si>
    <t>6572 115th Avenue NW</t>
  </si>
  <si>
    <t>2720 Dutchman Drive</t>
  </si>
  <si>
    <t>Santa Clara</t>
  </si>
  <si>
    <r>
      <t>504 18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Street</t>
    </r>
  </si>
  <si>
    <t>5604 Briger Ct. #3</t>
  </si>
  <si>
    <t>Missoula</t>
  </si>
  <si>
    <t>P.O. Box 1265</t>
  </si>
  <si>
    <t>The Lorraine Druyff Trust dated May 25, 2006 and the James C Druyff Trust dated May 25, 2006 James C Druyff, Successor Trustee and Trustee, respectively</t>
  </si>
  <si>
    <t>907 S. Detroit, Suite 722</t>
  </si>
  <si>
    <t>3351 Bounty Circle</t>
  </si>
  <si>
    <t>Huntington Beach</t>
  </si>
  <si>
    <t>P.O. Box 163</t>
  </si>
  <si>
    <t>74013-0163</t>
  </si>
  <si>
    <t>200 N. Adams Street</t>
  </si>
  <si>
    <t>Green Bay</t>
  </si>
  <si>
    <t xml:space="preserve">WI </t>
  </si>
  <si>
    <t>507 3rd Avenue East</t>
  </si>
  <si>
    <t>Ada</t>
  </si>
  <si>
    <t>9135 South Anasazi Indian Trail</t>
  </si>
  <si>
    <t>Timothy E. Macke aka Tim E. Macke</t>
  </si>
  <si>
    <t>5715 Majestic Oak Way</t>
  </si>
  <si>
    <t>135 Amber Way</t>
  </si>
  <si>
    <t>Williamsburg</t>
  </si>
  <si>
    <t>OH</t>
  </si>
  <si>
    <r>
      <t>2311 14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Street East</t>
    </r>
  </si>
  <si>
    <t>PO Box 2323</t>
  </si>
  <si>
    <t>808 23rd Street NW</t>
  </si>
  <si>
    <t>850 10 1/2 Avenue West</t>
  </si>
  <si>
    <t>West Fargo</t>
  </si>
  <si>
    <t>9137 East Mineral Circle, Suite 240</t>
  </si>
  <si>
    <t>Will Henning (LT)</t>
  </si>
  <si>
    <t>720 4th Avenue West</t>
  </si>
  <si>
    <t>Nancy Henning (RE)</t>
  </si>
  <si>
    <t>Daren Henning (RE)</t>
  </si>
  <si>
    <t>#17 County Road 5267</t>
  </si>
  <si>
    <t>NM</t>
  </si>
  <si>
    <t>1001 Fannin, Suite 4000</t>
  </si>
  <si>
    <t>1001 Fannin Street</t>
  </si>
  <si>
    <t>5179 Woodfield Drive</t>
  </si>
  <si>
    <t>Centreville</t>
  </si>
  <si>
    <t>VA</t>
  </si>
  <si>
    <t>3811 Turtle Creek Blvd., Suite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</si>
</sst>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000"/>
    <numFmt numFmtId="165" formatCode="0.000000"/>
    <numFmt numFmtId="166" formatCode="0.000000%"/>
    <numFmt numFmtId="167" formatCode="0.000"/>
  </numFmts>
  <fonts count="14" x14ac:knownFonts="1"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Times New Roman"/>
      <family val="1"/>
    </font>
    <font>
      <sz val="10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6" fillId="5" borderId="0" applyNumberFormat="0" applyFont="0" applyBorder="0" applyAlignment="0" applyProtection="0"/>
    <xf numFmtId="0" fontId="7" fillId="6" borderId="0" applyNumberFormat="0" applyFont="0" applyBorder="0" applyAlignment="0" applyProtection="0"/>
    <xf numFmtId="0" fontId="8" fillId="7" borderId="0" applyNumberFormat="0" applyFont="0" applyBorder="0" applyAlignment="0" applyProtection="0"/>
    <xf numFmtId="0" fontId="9" fillId="8" borderId="5" applyNumberFormat="0" applyFont="0" applyBorder="0" applyAlignment="0" applyProtection="0"/>
    <xf numFmtId="0" fontId="5" fillId="0" borderId="0"/>
    <xf numFmtId="0" fontId="1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 applyProtection="1">
      <alignment horizontal="right"/>
      <protection locked="0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0" fillId="0" borderId="4" xfId="0" applyNumberFormat="1" applyBorder="1" applyAlignment="1" applyProtection="1">
      <alignment horizontal="left" wrapText="1"/>
      <protection locked="0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 applyProtection="1">
      <alignment horizontal="left" wrapText="1"/>
      <protection locked="0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 applyProtection="1">
      <alignment horizontal="right" vertical="top" indent="13"/>
      <protection locked="0"/>
    </xf>
    <xf numFmtId="165" fontId="2" fillId="4" borderId="3" xfId="0" applyNumberFormat="1" applyFont="1" applyFill="1" applyBorder="1" applyAlignment="1" applyProtection="1">
      <alignment horizontal="right" vertical="top"/>
      <protection locked="0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167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49" fontId="0" fillId="0" borderId="1" xfId="0" applyNumberFormat="1" applyBorder="1" applyAlignment="1" applyProtection="1">
      <alignment horizontal="left" wrapText="1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4" borderId="6" xfId="0" applyFill="1" applyBorder="1"/>
    <xf numFmtId="165" fontId="2" fillId="4" borderId="3" xfId="0" applyNumberFormat="1" applyFont="1" applyFill="1" applyBorder="1"/>
    <xf numFmtId="0" fontId="4" fillId="9" borderId="1" xfId="0" applyFont="1" applyFill="1" applyBorder="1" applyAlignment="1">
      <alignment horizontal="left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wrapText="1"/>
    </xf>
    <xf numFmtId="0" fontId="1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 applyProtection="1">
      <alignment vertical="top" wrapText="1"/>
      <protection locked="0"/>
    </xf>
    <xf numFmtId="0" fontId="0" fillId="0" borderId="3" xfId="0" applyBorder="1"/>
    <xf numFmtId="164" fontId="0" fillId="0" borderId="3" xfId="0" applyNumberFormat="1" applyBorder="1" applyAlignment="1" applyProtection="1">
      <alignment wrapText="1"/>
      <protection locked="0"/>
    </xf>
    <xf numFmtId="0" fontId="0" fillId="0" borderId="1" xfId="0" applyBorder="1" applyAlignment="1">
      <alignment horizontal="center" wrapText="1"/>
    </xf>
    <xf numFmtId="164" fontId="0" fillId="0" borderId="3" xfId="0" applyNumberFormat="1" applyBorder="1" applyAlignment="1" applyProtection="1">
      <alignment horizontal="left" wrapText="1"/>
      <protection locked="0"/>
    </xf>
    <xf numFmtId="0" fontId="11" fillId="0" borderId="2" xfId="0" applyFont="1" applyBorder="1" applyAlignment="1">
      <alignment horizontal="center"/>
    </xf>
    <xf numFmtId="164" fontId="13" fillId="0" borderId="3" xfId="0" applyNumberFormat="1" applyFont="1" applyBorder="1" applyAlignment="1" applyProtection="1">
      <alignment vertical="top" wrapText="1"/>
      <protection locked="0"/>
    </xf>
    <xf numFmtId="164" fontId="0" fillId="0" borderId="3" xfId="0" applyNumberFormat="1" applyBorder="1" applyAlignment="1" applyProtection="1">
      <alignment horizontal="left" vertical="top" wrapText="1"/>
      <protection locked="0"/>
    </xf>
    <xf numFmtId="0" fontId="0" fillId="0" borderId="3" xfId="0" applyBorder="1" applyAlignment="1">
      <alignment vertical="center" wrapText="1"/>
    </xf>
  </cellXfs>
  <cellStyles count="7">
    <cellStyle name="Bad 2" xfId="2" xr:uid="{AC0D0018-00EB-40C6-B388-10554A9A7A54}"/>
    <cellStyle name="Calculation 2" xfId="4" xr:uid="{FB175134-F9BD-4414-BA2F-D5AF687A50F2}"/>
    <cellStyle name="Good 2" xfId="1" xr:uid="{0F68EDA2-EC70-4582-B40B-A8978BB574FE}"/>
    <cellStyle name="Neutral 2" xfId="3" xr:uid="{C34A1940-E594-4C23-BA49-B49B83BA6DA4}"/>
    <cellStyle name="Normal" xfId="0" builtinId="0" customBuiltin="1"/>
    <cellStyle name="Normal 2" xfId="6" xr:uid="{3524CF9C-F695-41AF-9C1B-0CE1439B6642}"/>
    <cellStyle name="Normal 4" xfId="5" xr:uid="{CBCC4923-DF8B-4995-BECB-222AECE2261A}"/>
  </cellStyles>
  <dxfs count="9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numFmt numFmtId="164" formatCode="0.00000000"/>
    </dxf>
    <dxf>
      <numFmt numFmtId="164" formatCode="0.00000000"/>
    </dxf>
    <dxf>
      <numFmt numFmtId="164" formatCode="0.00000000"/>
      <alignment horizontal="right" vertical="bottom" textRotation="0" wrapText="0" indent="0" justifyLastLine="0" shrinkToFit="0" readingOrder="0"/>
    </dxf>
    <dxf>
      <numFmt numFmtId="164" formatCode="0.00000000"/>
      <alignment horizontal="right" vertical="bottom" textRotation="0" wrapText="0" indent="0" justifyLastLine="0" shrinkToFit="0" readingOrder="0"/>
    </dxf>
    <dxf>
      <numFmt numFmtId="164" formatCode="0.00000000"/>
      <alignment horizontal="right" vertical="bottom" textRotation="0" wrapText="0" indent="0" justifyLastLine="0" shrinkToFit="0" readingOrder="0"/>
    </dxf>
    <dxf>
      <numFmt numFmtId="164" formatCode="0.00000000"/>
      <alignment horizontal="right" vertical="bottom" textRotation="0" wrapText="0" indent="0" justifyLastLine="0" shrinkToFit="0" readingOrder="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5" formatCode="0.000000"/>
    </dxf>
    <dxf>
      <numFmt numFmtId="165" formatCode="0.000000"/>
    </dxf>
    <dxf>
      <numFmt numFmtId="164" formatCode="0.00000000"/>
    </dxf>
    <dxf>
      <numFmt numFmtId="164" formatCode="0.00000000"/>
    </dxf>
    <dxf>
      <numFmt numFmtId="30" formatCode="@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30" formatCode="@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164" formatCode="0.00000000"/>
    </dxf>
    <dxf>
      <numFmt numFmtId="164" formatCode="0.00000000"/>
    </dxf>
    <dxf>
      <numFmt numFmtId="164" formatCode="0.00000000"/>
    </dxf>
    <dxf>
      <numFmt numFmtId="164" formatCode="0.00000000"/>
    </dxf>
    <dxf>
      <numFmt numFmtId="30" formatCode="@"/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numFmt numFmtId="165" formatCode="0.000000"/>
    </dxf>
    <dxf>
      <numFmt numFmtId="165" formatCode="0.000000"/>
    </dxf>
    <dxf>
      <numFmt numFmtId="164" formatCode="0.00000000"/>
    </dxf>
    <dxf>
      <numFmt numFmtId="164" formatCode="0.0000000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center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0.00000000"/>
      <fill>
        <patternFill patternType="solid">
          <fgColor indexed="64"/>
          <bgColor theme="0" tint="-0.1499984740745262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0.000000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0.000000"/>
      <fill>
        <patternFill patternType="solid">
          <fgColor indexed="64"/>
          <bgColor theme="0" tint="-0.14999847407452621"/>
        </patternFill>
      </fill>
      <alignment horizontal="righ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5" formatCode="0.0000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right" vertical="top" textRotation="0" wrapText="0" indent="13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alignment vertical="bottom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theme="1" tint="0.499984740745262"/>
      </font>
    </dxf>
    <dxf>
      <font>
        <b/>
        <color theme="1"/>
      </font>
      <border>
        <bottom style="thin">
          <color theme="0" tint="-0.249977111117893"/>
        </bottom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color theme="1"/>
      </font>
      <fill>
        <patternFill patternType="solid">
          <fgColor theme="0" tint="-4.9989318521683403E-2"/>
          <bgColor theme="0" tint="-4.9989318521683403E-2"/>
        </patternFill>
      </fill>
      <border>
        <left style="thin">
          <color theme="0" tint="-0.14999847407452621"/>
        </left>
        <right style="thin">
          <color theme="0" tint="-0.14999847407452621"/>
        </right>
        <vertical style="thin">
          <color theme="0" tint="-0.14999847407452621"/>
        </vertic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ont>
        <b/>
        <i val="0"/>
      </font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color auto="1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 val="0"/>
        <i val="0"/>
        <color theme="1"/>
      </font>
      <border diagonalDown="1">
        <top style="thin">
          <color auto="1"/>
        </top>
        <bottom style="double">
          <color auto="1"/>
        </bottom>
        <diagonal style="double">
          <color auto="1"/>
        </diagonal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ont>
        <b/>
        <color theme="1"/>
      </font>
      <fill>
        <patternFill patternType="solid">
          <fgColor theme="0"/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>
          <bgColor theme="0" tint="-0.14996795556505021"/>
        </patternFill>
      </fill>
      <border>
        <top style="thin">
          <color theme="1"/>
        </top>
        <bottom style="double">
          <color theme="1"/>
        </bottom>
      </border>
    </dxf>
    <dxf>
      <font>
        <b val="0"/>
        <i val="0"/>
        <color theme="0"/>
      </font>
      <fill>
        <patternFill patternType="solid">
          <fgColor theme="4"/>
          <bgColor theme="4"/>
        </patternFill>
      </fill>
      <border>
        <top style="thin">
          <color theme="1"/>
        </top>
        <bottom style="thin">
          <color theme="1"/>
        </bottom>
      </border>
    </dxf>
    <dxf>
      <font>
        <color theme="1"/>
      </font>
      <border diagonalUp="1" diagonalDown="1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 style="thin">
          <color theme="0" tint="-0.499984740745262"/>
        </diagonal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Light16">
    <tableStyle name="Ownership" pivot="0" count="7" xr9:uid="{057F74D3-2DB9-45E7-BBDA-31BB95E454AE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firstRowStripe" dxfId="92"/>
      <tableStyleElement type="firstColumnStripe" dxfId="91"/>
    </tableStyle>
    <tableStyle name="DOI Pivot" table="0" count="7" xr9:uid="{73B7E78F-AE84-41FB-84CC-1DF4D3923404}">
      <tableStyleElement type="wholeTable" dxfId="90"/>
      <tableStyleElement type="totalRow" dxfId="89"/>
      <tableStyleElement type="firstSubtotalRow" dxfId="88"/>
      <tableStyleElement type="secondSubtotalRow" dxfId="87"/>
      <tableStyleElement type="firstRowSubheading" dxfId="86"/>
      <tableStyleElement type="pageFieldLabels" dxfId="85"/>
      <tableStyleElement type="pageFieldValues" dxfId="84"/>
    </tableStyle>
    <tableStyle name="DOI Pivot (gridlines)" table="0" count="13" xr9:uid="{0EBB1EFC-787E-4DDF-A6A0-898084EDBD9B}">
      <tableStyleElement type="wholeTable" dxfId="83"/>
      <tableStyleElement type="headerRow" dxfId="82"/>
      <tableStyleElement type="totalRow" dxfId="81"/>
      <tableStyleElement type="firstRowStripe" dxfId="80"/>
      <tableStyleElement type="firstColumnStripe" dxfId="79"/>
      <tableStyleElement type="firstHeaderCell" dxfId="78"/>
      <tableStyleElement type="firstSubtotalRow" dxfId="77"/>
      <tableStyleElement type="secondSubtotalRow" dxfId="76"/>
      <tableStyleElement type="firstColumnSubheading" dxfId="75"/>
      <tableStyleElement type="firstRowSubheading" dxfId="74"/>
      <tableStyleElement type="secondRowSubheading" dxfId="73"/>
      <tableStyleElement type="pageFieldLabels" dxfId="72"/>
      <tableStyleElement type="pageFieldValues" dxfId="71"/>
    </tableStyle>
    <tableStyle name="PivotStyleMedium15 2" table="0" count="5" xr9:uid="{4D3A6AB4-3900-4185-BC50-A64D9CD0CABA}">
      <tableStyleElement type="wholeTable" dxfId="70"/>
      <tableStyleElement type="headerRow" dxfId="69"/>
      <tableStyleElement type="totalRow" dxfId="68"/>
      <tableStyleElement type="firstSubtotalRow" dxfId="67"/>
      <tableStyleElement type="secondSubtotalRow" dxfId="6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iperlawfirmcom.sharepoint.com/Public/Clients/Hess%20Corporation/Lemire%20-%20Barb%20-%20Wolla/Sec%2036%20(DRAFT)/IDK%20Working/RUNSHEET%20Template%20(Pinson).xls" TargetMode="External"/><Relationship Id="rId1" Type="http://schemas.openxmlformats.org/officeDocument/2006/relationships/externalLinkPath" Target="https://kuiperlawfirmcom.sharepoint.com/Public/Clients/Hess%20Corporation/Lemire%20-%20Barb/Review/DOIS/IDK%20Working/RUNSHEET%20Template%20(Pinson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nSheet"/>
      <sheetName val="Leasehold Runsheet"/>
      <sheetName val="Sheet1"/>
      <sheetName val="Leasehold Nts"/>
      <sheetName val="ORRI Nts"/>
    </sheetNames>
    <sheetDataSet>
      <sheetData sheetId="0">
        <row r="16">
          <cell r="O16">
            <v>640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8EF47D5-458B-400D-9224-AB89CA2DA967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6B4013-9DA4-413E-968E-FC7B0E035C94}" name="TractList" displayName="TractList" ref="A9:E23" totalsRowCount="1" headerRowDxfId="65" dataDxfId="64" totalsRowDxfId="63">
  <autoFilter ref="A9:E22" xr:uid="{39FE94D4-812E-4A44-B787-7B4D65BDC04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3C8D740-9902-4B9E-AB8E-DABA1A5F6902}" name="Tract" totalsRowLabel="TOTAL UNIT ACRES" dataDxfId="62" totalsRowDxfId="61"/>
    <tableColumn id="2" xr3:uid="{6A149566-F4FE-41CB-85B8-5312E77DDA53}" name="Legal Description" dataDxfId="60" totalsRowDxfId="59"/>
    <tableColumn id="3" xr3:uid="{C5C0BB44-EC1F-41D4-A5F6-BB71DA223CCE}" name="Acres" totalsRowFunction="sum" dataDxfId="58" totalsRowDxfId="57"/>
    <tableColumn id="4" xr3:uid="{FD1BD863-BD7C-4D5A-9089-F514C37C14C6}" name="Interest in Unit" totalsRowFunction="sum" dataDxfId="56" totalsRowDxfId="55">
      <calculatedColumnFormula>TractList[[#This Row],[Acres]]/TractList[[#Totals],[Acres]]</calculatedColumnFormula>
    </tableColumn>
    <tableColumn id="5" xr3:uid="{5A2F03F2-1A10-4E93-9B80-0BFF1528366B}" name="Prior Opinion" dataDxfId="54" totalsRowDxfId="5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A34C2F-DA92-46E9-BBE1-4C6CF80DB686}" name="Combined4" displayName="Combined4" ref="A1:T733">
  <sortState xmlns:xlrd2="http://schemas.microsoft.com/office/spreadsheetml/2017/richdata2" ref="A2:T379">
    <sortCondition ref="T2:T379"/>
    <sortCondition ref="B2:B379"/>
    <sortCondition ref="A2:A379"/>
  </sortState>
  <tableColumns count="20">
    <tableColumn id="1" xr3:uid="{DEFB33A0-FC2A-476F-A69C-9203D8D85002}" name="OWNER" totalsRowLabel="TOTAL" dataDxfId="52" totalsRowDxfId="51"/>
    <tableColumn id="23" xr3:uid="{16393A2F-8826-4516-908F-CD1E879021C1}" name="TYPE" dataDxfId="50" totalsRowDxfId="49"/>
    <tableColumn id="2" xr3:uid="{184A81A9-9BA6-4E90-996D-C894AD5294F0}" name="DECIMAL INTEREST" totalsRowFunction="sum" dataDxfId="48" totalsRowDxfId="47"/>
    <tableColumn id="3" xr3:uid="{566ABE3F-7CF5-4950-B0F2-1B6471B25C94}" name="NET ACRES" totalsRowFunction="sum" dataDxfId="46" totalsRowDxfId="45"/>
    <tableColumn id="4" xr3:uid="{BCC8D493-DFC7-40D6-A07B-F365DAE1D46A}" name="LEASE NO." dataDxfId="44" totalsRowDxfId="43"/>
    <tableColumn id="5" xr3:uid="{7F32DF2B-BF87-47EC-850F-ACD28AEDF429}" name="LEASE ROYALTY" dataDxfId="42" totalsRowDxfId="41"/>
    <tableColumn id="6" xr3:uid="{1D468EB0-3890-47C0-80A2-9217CC45F6FF}" name="NPRI BURDENS" dataDxfId="40" totalsRowDxfId="39"/>
    <tableColumn id="7" xr3:uid="{AAFEF648-9311-412B-8D9F-0DD89FFE884B}" name="NPRI NO." dataDxfId="38" totalsRowDxfId="37"/>
    <tableColumn id="19" xr3:uid="{E081EFE5-7CB7-4803-8A59-D6E4133B6F8A}" name="LEASE NRI" dataDxfId="36" totalsRowDxfId="35"/>
    <tableColumn id="20" xr3:uid="{E2D6CEDA-2B7D-4F5B-BE9A-D4340F07417E}" name="ORI BURDENS" dataDxfId="34" totalsRowDxfId="33"/>
    <tableColumn id="16" xr3:uid="{BEAC4AB6-0884-4E4C-9923-A4B1401BEDF0}" name="ORI NO." dataDxfId="32" totalsRowDxfId="31"/>
    <tableColumn id="12" xr3:uid="{3DC29178-C66C-4ED6-A42B-E8CC4594EDDE}" name="INTEREST BURDENED" dataDxfId="30" totalsRowDxfId="29"/>
    <tableColumn id="13" xr3:uid="{72032B75-FA17-4BA3-A80A-C5DB7B637A20}" name="ACRES BURDENED" dataDxfId="28" totalsRowDxfId="27"/>
    <tableColumn id="17" xr3:uid="{C7288B78-A95E-49A4-9F14-E9501CE76377}" name="NPRI" dataDxfId="26" totalsRowDxfId="25"/>
    <tableColumn id="18" xr3:uid="{930DBADA-0563-4238-949F-C73F8F22FDDA}" name="SHARE OF NPRI" dataDxfId="24" totalsRowDxfId="23"/>
    <tableColumn id="14" xr3:uid="{72A013AC-29D5-49E3-9333-8560273E127C}" name="ORI" dataDxfId="22" totalsRowDxfId="21"/>
    <tableColumn id="15" xr3:uid="{F35D4E92-D70F-456D-9375-9FFDCD8B13D7}" name="SHARE OF ORI" dataDxfId="20" totalsRowDxfId="19"/>
    <tableColumn id="8" xr3:uid="{62234A0A-60F3-4462-A1FD-DE25ECB206F0}" name="TRACT NRI" totalsRowFunction="sum" dataDxfId="18" totalsRowDxfId="17"/>
    <tableColumn id="10" xr3:uid="{787B08B8-57B6-4946-97CA-CCD2F878B89E}" name="REQ" dataDxfId="16" totalsRowDxfId="15"/>
    <tableColumn id="11" xr3:uid="{96B4FB25-7416-42CC-8444-36B0673554D6}" name="TRACT" dataDxfId="14" totalsRowDxfId="13"/>
  </tableColumns>
  <tableStyleInfo name="Ownership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95BA2-CC21-4541-BD2C-1CDB7B822389}" name="Table3" displayName="Table3" ref="A1:F271" totalsRowShown="0" headerRowDxfId="10" dataDxfId="9" headerRowBorderDxfId="7" tableBorderDxfId="8" totalsRowBorderDxfId="6">
  <sortState xmlns:xlrd2="http://schemas.microsoft.com/office/spreadsheetml/2017/richdata2" ref="A2:F271">
    <sortCondition ref="A2:A271"/>
    <sortCondition descending="1" ref="B2:B271"/>
  </sortState>
  <tableColumns count="6">
    <tableColumn id="1" xr3:uid="{6FF61546-B509-46E9-BD14-20A40313B7DC}" name="Owner Name" dataDxfId="5"/>
    <tableColumn id="6" xr3:uid="{A7F168ED-45C9-4645-B6A2-CAD331163DA3}" name="Address Source" dataDxfId="4"/>
    <tableColumn id="2" xr3:uid="{53A64C6A-78B3-4014-9054-FFC3325B5D86}" name="Street" dataDxfId="3"/>
    <tableColumn id="3" xr3:uid="{8B9BF969-DBCC-4F8A-BCC7-80D9135E4A46}" name="City" dataDxfId="2"/>
    <tableColumn id="4" xr3:uid="{EE0C737E-8C7B-4A81-89EF-E285D58C9CAF}" name="State" dataDxfId="1"/>
    <tableColumn id="5" xr3:uid="{FC5EAAA8-3DC1-4399-9184-8B97A11FBC5D}" name="Zi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D00086-03DD-4011-AACC-522A9A8131AB}">
  <we:reference id="WA200009404" version="1.0.0.4" store="Omex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C3C1-6610-4E51-892B-406FB6DC1A49}">
  <sheetPr>
    <pageSetUpPr fitToPage="1"/>
  </sheetPr>
  <dimension ref="A1:J23"/>
  <sheetViews>
    <sheetView showGridLines="0" zoomScaleNormal="100" workbookViewId="0">
      <selection activeCell="A3" sqref="A3"/>
    </sheetView>
  </sheetViews>
  <sheetFormatPr defaultColWidth="10.5" defaultRowHeight="12.75" x14ac:dyDescent="0.2"/>
  <cols>
    <col min="1" max="1" width="16.83203125" customWidth="1"/>
    <col min="2" max="2" width="52.33203125" bestFit="1" customWidth="1"/>
    <col min="3" max="3" width="13.83203125" customWidth="1"/>
    <col min="4" max="4" width="15.5" customWidth="1"/>
    <col min="5" max="5" width="13.83203125" customWidth="1"/>
    <col min="6" max="6" width="13.5" bestFit="1" customWidth="1"/>
    <col min="7" max="7" width="16" customWidth="1"/>
    <col min="8" max="8" width="4.1640625" customWidth="1"/>
    <col min="9" max="9" width="13.1640625" style="30" customWidth="1"/>
  </cols>
  <sheetData>
    <row r="1" spans="1:10" x14ac:dyDescent="0.2">
      <c r="A1" s="38" t="s">
        <v>481</v>
      </c>
      <c r="B1" s="38"/>
      <c r="C1" s="38"/>
      <c r="D1" s="38"/>
      <c r="E1" s="38"/>
      <c r="F1" s="38"/>
      <c r="I1"/>
      <c r="J1" s="30"/>
    </row>
    <row r="2" spans="1:10" x14ac:dyDescent="0.2">
      <c r="A2" s="31" t="s">
        <v>482</v>
      </c>
      <c r="B2" s="31" t="s">
        <v>483</v>
      </c>
      <c r="C2" s="31" t="s">
        <v>484</v>
      </c>
      <c r="D2" s="31" t="s">
        <v>485</v>
      </c>
      <c r="E2" s="32" t="s">
        <v>486</v>
      </c>
      <c r="F2" s="31" t="s">
        <v>460</v>
      </c>
      <c r="I2"/>
      <c r="J2" s="30"/>
    </row>
    <row r="3" spans="1:10" x14ac:dyDescent="0.2">
      <c r="A3" s="33" t="s">
        <v>487</v>
      </c>
      <c r="B3" s="33" t="s">
        <v>488</v>
      </c>
      <c r="C3" s="34" t="s">
        <v>72</v>
      </c>
      <c r="D3" s="34" t="s">
        <v>489</v>
      </c>
      <c r="E3" s="35" t="s">
        <v>490</v>
      </c>
      <c r="F3" s="17">
        <v>640</v>
      </c>
      <c r="I3"/>
      <c r="J3" s="30"/>
    </row>
    <row r="4" spans="1:10" x14ac:dyDescent="0.2">
      <c r="A4" s="33" t="s">
        <v>487</v>
      </c>
      <c r="B4" s="33" t="s">
        <v>488</v>
      </c>
      <c r="C4" s="34" t="s">
        <v>73</v>
      </c>
      <c r="D4" s="34" t="s">
        <v>489</v>
      </c>
      <c r="E4" s="35" t="s">
        <v>490</v>
      </c>
      <c r="F4" s="17">
        <v>640</v>
      </c>
      <c r="I4"/>
      <c r="J4" s="30"/>
    </row>
    <row r="5" spans="1:10" x14ac:dyDescent="0.2">
      <c r="A5" s="33" t="s">
        <v>487</v>
      </c>
      <c r="B5" s="33" t="s">
        <v>491</v>
      </c>
      <c r="C5" s="34" t="s">
        <v>158</v>
      </c>
      <c r="D5" s="34" t="s">
        <v>489</v>
      </c>
      <c r="E5" s="35" t="s">
        <v>490</v>
      </c>
      <c r="F5" s="17">
        <v>640</v>
      </c>
    </row>
    <row r="6" spans="1:10" x14ac:dyDescent="0.2">
      <c r="A6" s="25" t="s">
        <v>469</v>
      </c>
      <c r="B6" s="36"/>
      <c r="C6" s="36"/>
      <c r="D6" s="36"/>
      <c r="E6" s="36"/>
      <c r="F6" s="37">
        <f>SUM(F3:F5)</f>
        <v>1920</v>
      </c>
    </row>
    <row r="9" spans="1:10" x14ac:dyDescent="0.2">
      <c r="A9" s="18" t="s">
        <v>461</v>
      </c>
      <c r="B9" s="18" t="s">
        <v>462</v>
      </c>
      <c r="C9" s="18" t="s">
        <v>460</v>
      </c>
      <c r="D9" s="18" t="s">
        <v>463</v>
      </c>
      <c r="E9" s="18" t="s">
        <v>464</v>
      </c>
    </row>
    <row r="10" spans="1:10" x14ac:dyDescent="0.2">
      <c r="A10" s="19" t="s">
        <v>30</v>
      </c>
      <c r="B10" s="20" t="s">
        <v>465</v>
      </c>
      <c r="C10" s="17">
        <v>1.35</v>
      </c>
      <c r="D10" s="21">
        <f>TractList[[#This Row],[Acres]]/TractList[[#Totals],[Acres]]</f>
        <v>7.0312500000000008E-4</v>
      </c>
      <c r="E10" s="22" t="s">
        <v>479</v>
      </c>
    </row>
    <row r="11" spans="1:10" x14ac:dyDescent="0.2">
      <c r="A11" s="23" t="s">
        <v>32</v>
      </c>
      <c r="B11" s="24" t="s">
        <v>466</v>
      </c>
      <c r="C11" s="17">
        <v>318.64999999999998</v>
      </c>
      <c r="D11" s="21">
        <f>TractList[[#This Row],[Acres]]/TractList[[#Totals],[Acres]]</f>
        <v>0.16596354166666666</v>
      </c>
      <c r="E11" s="22" t="s">
        <v>480</v>
      </c>
    </row>
    <row r="12" spans="1:10" x14ac:dyDescent="0.2">
      <c r="A12" s="23" t="s">
        <v>22</v>
      </c>
      <c r="B12" s="24" t="s">
        <v>467</v>
      </c>
      <c r="C12" s="17">
        <v>240</v>
      </c>
      <c r="D12" s="21">
        <f>TractList[[#This Row],[Acres]]/TractList[[#Totals],[Acres]]</f>
        <v>0.125</v>
      </c>
      <c r="E12" s="22">
        <v>2</v>
      </c>
    </row>
    <row r="13" spans="1:10" x14ac:dyDescent="0.2">
      <c r="A13" s="23" t="s">
        <v>43</v>
      </c>
      <c r="B13" s="24" t="s">
        <v>468</v>
      </c>
      <c r="C13" s="17">
        <v>80</v>
      </c>
      <c r="D13" s="21">
        <f>TractList[[#This Row],[Acres]]/TractList[[#Totals],[Acres]]</f>
        <v>4.1666666666666664E-2</v>
      </c>
      <c r="E13" s="22">
        <v>3</v>
      </c>
    </row>
    <row r="14" spans="1:10" x14ac:dyDescent="0.2">
      <c r="A14" s="19" t="s">
        <v>46</v>
      </c>
      <c r="B14" s="24" t="s">
        <v>470</v>
      </c>
      <c r="C14" s="17">
        <v>160</v>
      </c>
      <c r="D14" s="21">
        <f>TractList[[#This Row],[Acres]]/TractList[[#Totals],[Acres]]</f>
        <v>8.3333333333333329E-2</v>
      </c>
      <c r="E14" s="22"/>
    </row>
    <row r="15" spans="1:10" x14ac:dyDescent="0.2">
      <c r="A15" s="23" t="s">
        <v>160</v>
      </c>
      <c r="B15" s="24" t="s">
        <v>471</v>
      </c>
      <c r="C15" s="17">
        <v>160</v>
      </c>
      <c r="D15" s="21">
        <f>TractList[[#This Row],[Acres]]/TractList[[#Totals],[Acres]]</f>
        <v>8.3333333333333329E-2</v>
      </c>
      <c r="E15" s="22"/>
    </row>
    <row r="16" spans="1:10" x14ac:dyDescent="0.2">
      <c r="A16" s="23" t="s">
        <v>115</v>
      </c>
      <c r="B16" s="24" t="s">
        <v>472</v>
      </c>
      <c r="C16" s="17">
        <v>160</v>
      </c>
      <c r="D16" s="21">
        <f>TractList[[#This Row],[Acres]]/TractList[[#Totals],[Acres]]</f>
        <v>8.3333333333333329E-2</v>
      </c>
      <c r="E16" s="22"/>
    </row>
    <row r="17" spans="1:5" x14ac:dyDescent="0.2">
      <c r="A17" s="23" t="s">
        <v>109</v>
      </c>
      <c r="B17" s="24" t="s">
        <v>473</v>
      </c>
      <c r="C17" s="17">
        <v>160</v>
      </c>
      <c r="D17" s="21">
        <f>TractList[[#This Row],[Acres]]/TractList[[#Totals],[Acres]]</f>
        <v>8.3333333333333329E-2</v>
      </c>
      <c r="E17" s="22"/>
    </row>
    <row r="18" spans="1:5" x14ac:dyDescent="0.2">
      <c r="A18" s="19" t="s">
        <v>48</v>
      </c>
      <c r="B18" s="24" t="s">
        <v>474</v>
      </c>
      <c r="C18" s="17">
        <v>120</v>
      </c>
      <c r="D18" s="21">
        <f>TractList[[#This Row],[Acres]]/TractList[[#Totals],[Acres]]</f>
        <v>6.25E-2</v>
      </c>
      <c r="E18" s="22"/>
    </row>
    <row r="19" spans="1:5" x14ac:dyDescent="0.2">
      <c r="A19" s="23" t="s">
        <v>33</v>
      </c>
      <c r="B19" s="24" t="s">
        <v>475</v>
      </c>
      <c r="C19" s="17">
        <v>40</v>
      </c>
      <c r="D19" s="21">
        <f>TractList[[#This Row],[Acres]]/TractList[[#Totals],[Acres]]</f>
        <v>2.0833333333333332E-2</v>
      </c>
      <c r="E19" s="22"/>
    </row>
    <row r="20" spans="1:5" x14ac:dyDescent="0.2">
      <c r="A20" s="23" t="s">
        <v>154</v>
      </c>
      <c r="B20" s="24" t="s">
        <v>476</v>
      </c>
      <c r="C20" s="17">
        <v>160</v>
      </c>
      <c r="D20" s="21">
        <f>TractList[[#This Row],[Acres]]/TractList[[#Totals],[Acres]]</f>
        <v>8.3333333333333329E-2</v>
      </c>
      <c r="E20" s="22"/>
    </row>
    <row r="21" spans="1:5" x14ac:dyDescent="0.2">
      <c r="A21" s="23" t="s">
        <v>62</v>
      </c>
      <c r="B21" s="24" t="s">
        <v>477</v>
      </c>
      <c r="C21" s="17">
        <v>160</v>
      </c>
      <c r="D21" s="21">
        <f>TractList[[#This Row],[Acres]]/TractList[[#Totals],[Acres]]</f>
        <v>8.3333333333333329E-2</v>
      </c>
      <c r="E21" s="22"/>
    </row>
    <row r="22" spans="1:5" x14ac:dyDescent="0.2">
      <c r="A22" s="19" t="s">
        <v>72</v>
      </c>
      <c r="B22" s="24" t="s">
        <v>478</v>
      </c>
      <c r="C22" s="17">
        <v>160</v>
      </c>
      <c r="D22" s="21">
        <f>TractList[[#This Row],[Acres]]/TractList[[#Totals],[Acres]]</f>
        <v>8.3333333333333329E-2</v>
      </c>
      <c r="E22" s="22"/>
    </row>
    <row r="23" spans="1:5" x14ac:dyDescent="0.2">
      <c r="A23" s="25" t="s">
        <v>469</v>
      </c>
      <c r="B23" s="26"/>
      <c r="C23" s="27">
        <f>SUBTOTAL(109,TractList[Acres])</f>
        <v>1920</v>
      </c>
      <c r="D23" s="28">
        <f>SUBTOTAL(109,TractList[Interest in Unit])</f>
        <v>1</v>
      </c>
      <c r="E23" s="29"/>
    </row>
  </sheetData>
  <mergeCells count="1">
    <mergeCell ref="A1:F1"/>
  </mergeCells>
  <phoneticPr fontId="3" type="noConversion"/>
  <pageMargins left="0.25" right="0.25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E202-256B-4310-9A16-CAFC272EA2EF}">
  <sheetPr>
    <pageSetUpPr fitToPage="1"/>
  </sheetPr>
  <dimension ref="A1:AG1494"/>
  <sheetViews>
    <sheetView showGridLines="0" topLeftCell="A312" zoomScaleNormal="100" workbookViewId="0">
      <selection activeCell="A366" sqref="A366"/>
    </sheetView>
  </sheetViews>
  <sheetFormatPr defaultColWidth="9.1640625" defaultRowHeight="12.75" x14ac:dyDescent="0.2"/>
  <cols>
    <col min="1" max="1" width="49.33203125" style="1" customWidth="1"/>
    <col min="2" max="2" width="11.83203125" style="3" customWidth="1"/>
    <col min="3" max="3" width="14.6640625" style="4" customWidth="1"/>
    <col min="4" max="5" width="14.6640625" style="2" customWidth="1"/>
    <col min="6" max="6" width="14.6640625" style="15" customWidth="1"/>
    <col min="7" max="8" width="14.6640625" style="2" customWidth="1"/>
    <col min="9" max="9" width="14.6640625" style="14" customWidth="1"/>
    <col min="10" max="10" width="14.6640625" style="16" customWidth="1"/>
    <col min="11" max="12" width="14.6640625" style="2" customWidth="1"/>
    <col min="13" max="13" width="14.6640625" style="5" customWidth="1"/>
    <col min="14" max="14" width="14.6640625" style="6" customWidth="1"/>
    <col min="15" max="17" width="14.6640625" style="7" customWidth="1"/>
    <col min="18" max="19" width="14.6640625" style="4" customWidth="1"/>
    <col min="20" max="20" width="8.83203125" style="4" bestFit="1" customWidth="1"/>
    <col min="22" max="22" width="38.33203125" style="4" customWidth="1"/>
    <col min="23" max="23" width="11.83203125" style="4" customWidth="1"/>
    <col min="24" max="24" width="8.1640625" style="4" bestFit="1" customWidth="1"/>
    <col min="25" max="25" width="13.33203125" style="4" customWidth="1"/>
    <col min="26" max="26" width="10.33203125" style="7" customWidth="1"/>
    <col min="27" max="27" width="12.33203125" style="7" customWidth="1"/>
    <col min="28" max="28" width="11.83203125" style="8" customWidth="1"/>
    <col min="29" max="31" width="11.33203125" style="9" customWidth="1"/>
    <col min="32" max="32" width="10.33203125" style="10" customWidth="1"/>
    <col min="33" max="33" width="8.33203125" style="11" customWidth="1"/>
    <col min="34" max="34" width="9.33203125" customWidth="1"/>
  </cols>
  <sheetData>
    <row r="1" spans="1:33" s="11" customFormat="1" ht="25.5" x14ac:dyDescent="0.2">
      <c r="A1" s="13" t="s">
        <v>0</v>
      </c>
      <c r="B1" s="4" t="s">
        <v>1</v>
      </c>
      <c r="C1" s="7" t="s">
        <v>2</v>
      </c>
      <c r="D1" s="14" t="s">
        <v>3</v>
      </c>
      <c r="E1" s="4" t="s">
        <v>4</v>
      </c>
      <c r="F1" s="7" t="s">
        <v>5</v>
      </c>
      <c r="G1" s="7" t="s">
        <v>6</v>
      </c>
      <c r="H1" s="4" t="s">
        <v>7</v>
      </c>
      <c r="I1" s="7" t="s">
        <v>8</v>
      </c>
      <c r="J1" s="7" t="s">
        <v>9</v>
      </c>
      <c r="K1" s="4" t="s">
        <v>10</v>
      </c>
      <c r="L1" s="7" t="s">
        <v>11</v>
      </c>
      <c r="M1" s="1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4" t="s">
        <v>18</v>
      </c>
      <c r="T1" s="4" t="s">
        <v>19</v>
      </c>
    </row>
    <row r="2" spans="1:33" ht="38.25" x14ac:dyDescent="0.2">
      <c r="A2" s="1" t="s">
        <v>219</v>
      </c>
      <c r="B2" s="5" t="s">
        <v>21</v>
      </c>
      <c r="C2" s="2">
        <v>1</v>
      </c>
      <c r="D2" s="3">
        <v>1.35</v>
      </c>
      <c r="E2" s="11" t="s">
        <v>154</v>
      </c>
      <c r="F2" s="2">
        <f>1/6</f>
        <v>0.16666666666666666</v>
      </c>
      <c r="G2" s="2">
        <v>0</v>
      </c>
      <c r="H2" s="11"/>
      <c r="I2" s="2"/>
      <c r="J2" s="2">
        <v>0</v>
      </c>
      <c r="K2" s="12"/>
      <c r="M2" s="3"/>
      <c r="N2" s="2">
        <v>0</v>
      </c>
      <c r="O2" s="2">
        <v>0</v>
      </c>
      <c r="P2" s="6">
        <v>0</v>
      </c>
      <c r="Q2" s="6">
        <v>0</v>
      </c>
      <c r="R2" s="2">
        <v>0.16666666999999999</v>
      </c>
      <c r="T2" s="12">
        <v>1</v>
      </c>
      <c r="U2" s="7"/>
      <c r="V2" s="7"/>
      <c r="W2" s="8"/>
      <c r="X2" s="9"/>
      <c r="Y2" s="9"/>
      <c r="Z2" s="9"/>
      <c r="AA2" s="10"/>
      <c r="AB2" s="11"/>
      <c r="AC2"/>
      <c r="AD2"/>
      <c r="AE2"/>
      <c r="AF2"/>
      <c r="AG2"/>
    </row>
    <row r="3" spans="1:33" x14ac:dyDescent="0.2">
      <c r="A3" s="1" t="s">
        <v>119</v>
      </c>
      <c r="B3" s="5" t="s">
        <v>13</v>
      </c>
      <c r="C3" s="2"/>
      <c r="D3" s="3"/>
      <c r="E3" s="11"/>
      <c r="F3" s="2"/>
      <c r="G3" s="2">
        <v>0</v>
      </c>
      <c r="H3" s="11"/>
      <c r="I3" s="2"/>
      <c r="J3" s="2">
        <v>0</v>
      </c>
      <c r="K3" s="12"/>
      <c r="M3" s="3">
        <v>0</v>
      </c>
      <c r="N3" s="2">
        <v>0</v>
      </c>
      <c r="O3" s="2">
        <v>0</v>
      </c>
      <c r="P3" s="6">
        <v>0</v>
      </c>
      <c r="Q3" s="6">
        <v>0</v>
      </c>
      <c r="R3" s="2">
        <v>0</v>
      </c>
      <c r="T3" s="12">
        <v>1</v>
      </c>
      <c r="U3" s="7"/>
      <c r="V3" s="7"/>
      <c r="W3" s="8"/>
      <c r="X3" s="9"/>
      <c r="Y3" s="9"/>
      <c r="Z3" s="9"/>
      <c r="AA3" s="10"/>
      <c r="AB3" s="11"/>
      <c r="AC3"/>
      <c r="AD3"/>
      <c r="AE3"/>
      <c r="AF3"/>
      <c r="AG3"/>
    </row>
    <row r="4" spans="1:33" x14ac:dyDescent="0.2">
      <c r="A4" s="1" t="s">
        <v>29</v>
      </c>
      <c r="B4" s="5" t="s">
        <v>15</v>
      </c>
      <c r="C4" s="2"/>
      <c r="D4" s="3"/>
      <c r="E4" s="11" t="s">
        <v>154</v>
      </c>
      <c r="F4" s="2"/>
      <c r="G4" s="2">
        <v>0</v>
      </c>
      <c r="H4" s="11"/>
      <c r="I4" s="2"/>
      <c r="J4" s="2">
        <v>0</v>
      </c>
      <c r="K4" s="12" t="s">
        <v>30</v>
      </c>
      <c r="L4" s="2">
        <v>1</v>
      </c>
      <c r="M4" s="3">
        <v>1.35</v>
      </c>
      <c r="N4" s="2">
        <v>0</v>
      </c>
      <c r="O4" s="2">
        <v>0</v>
      </c>
      <c r="P4" s="6">
        <v>3.3333000000000002E-2</v>
      </c>
      <c r="Q4" s="6">
        <v>6.25E-2</v>
      </c>
      <c r="R4" s="2">
        <v>2.0830000000000002E-3</v>
      </c>
      <c r="T4" s="12">
        <v>1</v>
      </c>
      <c r="U4" s="7"/>
      <c r="V4" s="7"/>
      <c r="W4" s="8"/>
      <c r="X4" s="9"/>
      <c r="Y4" s="9"/>
      <c r="Z4" s="9"/>
      <c r="AA4" s="10"/>
      <c r="AB4" s="11"/>
      <c r="AC4"/>
      <c r="AD4"/>
      <c r="AE4"/>
      <c r="AF4"/>
      <c r="AG4"/>
    </row>
    <row r="5" spans="1:33" x14ac:dyDescent="0.2">
      <c r="A5" s="1" t="s">
        <v>36</v>
      </c>
      <c r="B5" s="5" t="s">
        <v>15</v>
      </c>
      <c r="C5" s="2"/>
      <c r="D5" s="3"/>
      <c r="E5" s="11" t="s">
        <v>154</v>
      </c>
      <c r="F5" s="2"/>
      <c r="G5" s="2">
        <v>0</v>
      </c>
      <c r="H5" s="11"/>
      <c r="I5" s="2"/>
      <c r="J5" s="2">
        <v>0</v>
      </c>
      <c r="K5" s="12" t="s">
        <v>30</v>
      </c>
      <c r="L5" s="2">
        <v>1</v>
      </c>
      <c r="M5" s="3">
        <v>1.35</v>
      </c>
      <c r="N5" s="2">
        <v>0</v>
      </c>
      <c r="O5" s="2">
        <v>0</v>
      </c>
      <c r="P5" s="6">
        <v>3.3333000000000002E-2</v>
      </c>
      <c r="Q5" s="6">
        <v>2.7799999999999998E-2</v>
      </c>
      <c r="R5" s="2">
        <v>9.2699999999999998E-4</v>
      </c>
      <c r="T5" s="12">
        <v>1</v>
      </c>
      <c r="U5" s="7"/>
      <c r="V5" s="7"/>
      <c r="W5" s="8"/>
      <c r="X5" s="9"/>
      <c r="Y5" s="9"/>
      <c r="Z5" s="9"/>
      <c r="AA5" s="10"/>
      <c r="AB5" s="11"/>
      <c r="AC5"/>
      <c r="AD5"/>
      <c r="AE5"/>
      <c r="AF5"/>
      <c r="AG5"/>
    </row>
    <row r="6" spans="1:33" x14ac:dyDescent="0.2">
      <c r="A6" s="1" t="s">
        <v>59</v>
      </c>
      <c r="B6" s="5" t="s">
        <v>15</v>
      </c>
      <c r="C6" s="2"/>
      <c r="D6" s="3"/>
      <c r="E6" s="11" t="s">
        <v>154</v>
      </c>
      <c r="F6" s="2"/>
      <c r="G6" s="2">
        <v>0</v>
      </c>
      <c r="H6" s="11"/>
      <c r="I6" s="2"/>
      <c r="J6" s="2">
        <v>0</v>
      </c>
      <c r="K6" s="12" t="s">
        <v>30</v>
      </c>
      <c r="L6" s="2">
        <v>1</v>
      </c>
      <c r="M6" s="3">
        <v>1.35</v>
      </c>
      <c r="N6" s="2">
        <v>0</v>
      </c>
      <c r="O6" s="2">
        <v>0</v>
      </c>
      <c r="P6" s="6">
        <v>3.3333000000000002E-2</v>
      </c>
      <c r="Q6" s="6">
        <v>3.125E-2</v>
      </c>
      <c r="R6" s="2">
        <v>1.042E-3</v>
      </c>
      <c r="T6" s="12">
        <v>1</v>
      </c>
      <c r="U6" s="7"/>
      <c r="V6" s="7"/>
      <c r="W6" s="8"/>
      <c r="X6" s="9"/>
      <c r="Y6" s="9"/>
      <c r="Z6" s="9"/>
      <c r="AA6" s="10"/>
      <c r="AB6" s="11"/>
      <c r="AC6"/>
      <c r="AD6"/>
      <c r="AE6"/>
      <c r="AF6"/>
      <c r="AG6"/>
    </row>
    <row r="7" spans="1:33" x14ac:dyDescent="0.2">
      <c r="A7" s="1" t="s">
        <v>69</v>
      </c>
      <c r="B7" s="5" t="s">
        <v>15</v>
      </c>
      <c r="C7" s="2"/>
      <c r="D7" s="3"/>
      <c r="E7" s="11" t="s">
        <v>154</v>
      </c>
      <c r="F7" s="2"/>
      <c r="G7" s="2">
        <v>0</v>
      </c>
      <c r="H7" s="11"/>
      <c r="I7" s="2"/>
      <c r="J7" s="2">
        <v>0</v>
      </c>
      <c r="K7" s="12" t="s">
        <v>30</v>
      </c>
      <c r="L7" s="2">
        <v>1</v>
      </c>
      <c r="M7" s="3">
        <v>1.35</v>
      </c>
      <c r="N7" s="2">
        <v>0</v>
      </c>
      <c r="O7" s="2">
        <v>0</v>
      </c>
      <c r="P7" s="6">
        <v>3.3333000000000002E-2</v>
      </c>
      <c r="Q7" s="6">
        <v>0.38335000000000002</v>
      </c>
      <c r="R7" s="2">
        <v>1.2777999999999999E-2</v>
      </c>
      <c r="T7" s="12">
        <v>1</v>
      </c>
      <c r="U7" s="7"/>
      <c r="V7" s="7"/>
      <c r="W7" s="8"/>
      <c r="X7" s="9"/>
      <c r="Y7" s="9"/>
      <c r="Z7" s="9"/>
      <c r="AA7" s="10"/>
      <c r="AB7" s="11"/>
      <c r="AC7"/>
      <c r="AD7"/>
      <c r="AE7"/>
      <c r="AF7"/>
      <c r="AG7"/>
    </row>
    <row r="8" spans="1:33" x14ac:dyDescent="0.2">
      <c r="A8" s="1" t="s">
        <v>69</v>
      </c>
      <c r="B8" s="5" t="s">
        <v>15</v>
      </c>
      <c r="C8" s="2"/>
      <c r="D8" s="3"/>
      <c r="E8" s="11" t="s">
        <v>154</v>
      </c>
      <c r="F8" s="2"/>
      <c r="G8" s="2">
        <v>0</v>
      </c>
      <c r="H8" s="11"/>
      <c r="I8" s="2"/>
      <c r="J8" s="2">
        <v>0</v>
      </c>
      <c r="K8" s="12" t="s">
        <v>30</v>
      </c>
      <c r="L8" s="2">
        <v>1</v>
      </c>
      <c r="M8" s="3">
        <v>1.35</v>
      </c>
      <c r="N8" s="2">
        <v>0</v>
      </c>
      <c r="O8" s="2">
        <v>0</v>
      </c>
      <c r="P8" s="6">
        <v>3.3333000000000002E-2</v>
      </c>
      <c r="Q8" s="6">
        <v>5.4999999999999997E-3</v>
      </c>
      <c r="R8" s="2">
        <v>1.83E-4</v>
      </c>
      <c r="T8" s="12">
        <v>1</v>
      </c>
      <c r="U8" s="7"/>
      <c r="V8" s="7"/>
      <c r="W8" s="8"/>
      <c r="X8" s="9"/>
      <c r="Y8" s="9"/>
      <c r="Z8" s="9"/>
      <c r="AA8" s="10"/>
      <c r="AB8" s="11"/>
      <c r="AC8"/>
      <c r="AD8"/>
      <c r="AE8"/>
      <c r="AF8"/>
      <c r="AG8"/>
    </row>
    <row r="9" spans="1:33" x14ac:dyDescent="0.2">
      <c r="A9" s="1" t="s">
        <v>75</v>
      </c>
      <c r="B9" s="5" t="s">
        <v>15</v>
      </c>
      <c r="C9" s="2"/>
      <c r="D9" s="3"/>
      <c r="E9" s="11" t="s">
        <v>154</v>
      </c>
      <c r="F9" s="2"/>
      <c r="G9" s="2">
        <v>0</v>
      </c>
      <c r="H9" s="11"/>
      <c r="I9" s="2"/>
      <c r="J9" s="2">
        <v>0</v>
      </c>
      <c r="K9" s="12" t="s">
        <v>30</v>
      </c>
      <c r="L9" s="2">
        <v>1</v>
      </c>
      <c r="M9" s="3">
        <v>1.35</v>
      </c>
      <c r="N9" s="2">
        <v>0</v>
      </c>
      <c r="O9" s="2">
        <v>0</v>
      </c>
      <c r="P9" s="6">
        <v>3.3333000000000002E-2</v>
      </c>
      <c r="Q9" s="6">
        <v>0.125</v>
      </c>
      <c r="R9" s="2">
        <v>4.1669999999999997E-3</v>
      </c>
      <c r="T9" s="12">
        <v>1</v>
      </c>
      <c r="U9" s="7"/>
      <c r="V9" s="7"/>
      <c r="W9" s="8"/>
      <c r="X9" s="9"/>
      <c r="Y9" s="9"/>
      <c r="Z9" s="9"/>
      <c r="AA9" s="10"/>
      <c r="AB9" s="11"/>
      <c r="AC9"/>
      <c r="AD9"/>
      <c r="AE9"/>
      <c r="AF9"/>
      <c r="AG9"/>
    </row>
    <row r="10" spans="1:33" x14ac:dyDescent="0.2">
      <c r="A10" s="1" t="s">
        <v>96</v>
      </c>
      <c r="B10" s="5" t="s">
        <v>15</v>
      </c>
      <c r="C10" s="2"/>
      <c r="D10" s="3"/>
      <c r="E10" s="11" t="s">
        <v>154</v>
      </c>
      <c r="F10" s="2"/>
      <c r="G10" s="2">
        <v>0</v>
      </c>
      <c r="H10" s="11"/>
      <c r="I10" s="2"/>
      <c r="J10" s="2">
        <v>0</v>
      </c>
      <c r="K10" s="12" t="s">
        <v>30</v>
      </c>
      <c r="L10" s="2">
        <v>1</v>
      </c>
      <c r="M10" s="3">
        <v>1.35</v>
      </c>
      <c r="N10" s="2">
        <v>0</v>
      </c>
      <c r="O10" s="2">
        <v>0</v>
      </c>
      <c r="P10" s="6">
        <v>3.3333000000000002E-2</v>
      </c>
      <c r="Q10" s="6">
        <v>3.125E-2</v>
      </c>
      <c r="R10" s="2">
        <v>1.042E-3</v>
      </c>
      <c r="T10" s="12">
        <v>1</v>
      </c>
      <c r="U10" s="7"/>
      <c r="V10" s="7"/>
      <c r="W10" s="8"/>
      <c r="X10" s="9"/>
      <c r="Y10" s="9"/>
      <c r="Z10" s="9"/>
      <c r="AA10" s="10"/>
      <c r="AB10" s="11"/>
      <c r="AC10"/>
      <c r="AD10"/>
      <c r="AE10"/>
      <c r="AF10"/>
      <c r="AG10"/>
    </row>
    <row r="11" spans="1:33" x14ac:dyDescent="0.2">
      <c r="A11" s="1" t="s">
        <v>137</v>
      </c>
      <c r="B11" s="5" t="s">
        <v>15</v>
      </c>
      <c r="C11" s="2"/>
      <c r="D11" s="3"/>
      <c r="E11" s="11" t="s">
        <v>154</v>
      </c>
      <c r="F11" s="2"/>
      <c r="G11" s="2">
        <v>0</v>
      </c>
      <c r="H11" s="11"/>
      <c r="I11" s="2"/>
      <c r="J11" s="2">
        <v>0</v>
      </c>
      <c r="K11" s="12" t="s">
        <v>30</v>
      </c>
      <c r="L11" s="2">
        <v>1</v>
      </c>
      <c r="M11" s="3">
        <v>1.35</v>
      </c>
      <c r="N11" s="2">
        <v>0</v>
      </c>
      <c r="O11" s="2">
        <v>0</v>
      </c>
      <c r="P11" s="6">
        <v>3.3333000000000002E-2</v>
      </c>
      <c r="Q11" s="6">
        <v>6.25E-2</v>
      </c>
      <c r="R11" s="2">
        <v>2.0830000000000002E-3</v>
      </c>
      <c r="T11" s="12">
        <v>1</v>
      </c>
      <c r="U11" s="7"/>
      <c r="V11" s="7"/>
      <c r="W11" s="8"/>
      <c r="X11" s="9"/>
      <c r="Y11" s="9"/>
      <c r="Z11" s="9"/>
      <c r="AA11" s="10"/>
      <c r="AB11" s="11"/>
      <c r="AC11"/>
      <c r="AD11"/>
      <c r="AE11"/>
      <c r="AF11"/>
      <c r="AG11"/>
    </row>
    <row r="12" spans="1:33" x14ac:dyDescent="0.2">
      <c r="A12" s="1" t="s">
        <v>139</v>
      </c>
      <c r="B12" s="5" t="s">
        <v>15</v>
      </c>
      <c r="C12" s="2"/>
      <c r="D12" s="3"/>
      <c r="E12" s="11" t="s">
        <v>154</v>
      </c>
      <c r="F12" s="2"/>
      <c r="G12" s="2">
        <v>0</v>
      </c>
      <c r="H12" s="11"/>
      <c r="I12" s="2"/>
      <c r="J12" s="2">
        <v>0</v>
      </c>
      <c r="K12" s="12" t="s">
        <v>30</v>
      </c>
      <c r="L12" s="2">
        <v>1</v>
      </c>
      <c r="M12" s="3">
        <v>1.35</v>
      </c>
      <c r="N12" s="2">
        <v>0</v>
      </c>
      <c r="O12" s="2">
        <v>0</v>
      </c>
      <c r="P12" s="6">
        <v>3.3333000000000002E-2</v>
      </c>
      <c r="Q12" s="6">
        <v>0.125</v>
      </c>
      <c r="R12" s="2">
        <v>4.1669999999999997E-3</v>
      </c>
      <c r="T12" s="12">
        <v>1</v>
      </c>
      <c r="U12" s="7"/>
      <c r="V12" s="7"/>
      <c r="W12" s="8"/>
      <c r="X12" s="9"/>
      <c r="Y12" s="9"/>
      <c r="Z12" s="9"/>
      <c r="AA12" s="10"/>
      <c r="AB12" s="11"/>
      <c r="AC12"/>
      <c r="AD12"/>
      <c r="AE12"/>
      <c r="AF12"/>
      <c r="AG12"/>
    </row>
    <row r="13" spans="1:33" ht="25.5" x14ac:dyDescent="0.2">
      <c r="A13" s="1" t="s">
        <v>152</v>
      </c>
      <c r="B13" s="5" t="s">
        <v>15</v>
      </c>
      <c r="C13" s="2"/>
      <c r="D13" s="3"/>
      <c r="E13" s="11" t="s">
        <v>154</v>
      </c>
      <c r="F13" s="2"/>
      <c r="G13" s="2">
        <v>0</v>
      </c>
      <c r="H13" s="11"/>
      <c r="I13" s="2"/>
      <c r="J13" s="2">
        <v>0</v>
      </c>
      <c r="K13" s="12" t="s">
        <v>30</v>
      </c>
      <c r="L13" s="2">
        <v>1</v>
      </c>
      <c r="M13" s="3">
        <v>1.35</v>
      </c>
      <c r="N13" s="2">
        <v>0</v>
      </c>
      <c r="O13" s="2">
        <v>0</v>
      </c>
      <c r="P13" s="6">
        <v>3.3333000000000002E-2</v>
      </c>
      <c r="Q13" s="6">
        <v>8.3349999999999994E-2</v>
      </c>
      <c r="R13" s="2">
        <v>2.7780000000000001E-3</v>
      </c>
      <c r="T13" s="12">
        <v>1</v>
      </c>
      <c r="U13" s="7"/>
      <c r="V13" s="7"/>
      <c r="W13" s="8"/>
      <c r="X13" s="9"/>
      <c r="Y13" s="9"/>
      <c r="Z13" s="9"/>
      <c r="AA13" s="10"/>
      <c r="AB13" s="11"/>
      <c r="AC13"/>
      <c r="AD13"/>
      <c r="AE13"/>
      <c r="AF13"/>
      <c r="AG13"/>
    </row>
    <row r="14" spans="1:33" x14ac:dyDescent="0.2">
      <c r="A14" s="1" t="s">
        <v>159</v>
      </c>
      <c r="B14" s="5" t="s">
        <v>15</v>
      </c>
      <c r="C14" s="2"/>
      <c r="D14" s="3"/>
      <c r="E14" s="11" t="s">
        <v>154</v>
      </c>
      <c r="F14" s="2"/>
      <c r="G14" s="2">
        <v>0</v>
      </c>
      <c r="H14" s="11"/>
      <c r="I14" s="2"/>
      <c r="J14" s="2">
        <v>0</v>
      </c>
      <c r="K14" s="12" t="s">
        <v>30</v>
      </c>
      <c r="L14" s="2">
        <v>1</v>
      </c>
      <c r="M14" s="3">
        <v>1.35</v>
      </c>
      <c r="N14" s="2">
        <v>0</v>
      </c>
      <c r="O14" s="2">
        <v>0</v>
      </c>
      <c r="P14" s="6">
        <v>3.3333000000000002E-2</v>
      </c>
      <c r="Q14" s="6">
        <v>6.25E-2</v>
      </c>
      <c r="R14" s="2">
        <v>2.0830000000000002E-3</v>
      </c>
      <c r="T14" s="12">
        <v>1</v>
      </c>
      <c r="U14" s="7"/>
      <c r="V14" s="7"/>
      <c r="W14" s="8"/>
      <c r="X14" s="9"/>
      <c r="Y14" s="9"/>
      <c r="Z14" s="9"/>
      <c r="AA14" s="10"/>
      <c r="AB14" s="11"/>
      <c r="AC14"/>
      <c r="AD14"/>
      <c r="AE14"/>
      <c r="AF14"/>
      <c r="AG14"/>
    </row>
    <row r="15" spans="1:33" x14ac:dyDescent="0.2">
      <c r="A15" s="1" t="s">
        <v>79</v>
      </c>
      <c r="B15" s="5" t="s">
        <v>52</v>
      </c>
      <c r="C15" s="2">
        <v>2.7959999999999999E-3</v>
      </c>
      <c r="D15" s="3">
        <v>3.774E-3</v>
      </c>
      <c r="E15" s="11" t="s">
        <v>154</v>
      </c>
      <c r="F15" s="2"/>
      <c r="G15" s="2">
        <v>0</v>
      </c>
      <c r="H15" s="11"/>
      <c r="I15" s="2">
        <v>0.83333332999999998</v>
      </c>
      <c r="J15" s="2">
        <v>3.3333000000000002E-2</v>
      </c>
      <c r="K15" s="12" t="s">
        <v>30</v>
      </c>
      <c r="M15" s="3"/>
      <c r="N15" s="2">
        <v>0</v>
      </c>
      <c r="O15" s="2">
        <v>0</v>
      </c>
      <c r="P15" s="6">
        <v>0</v>
      </c>
      <c r="Q15" s="6">
        <v>0</v>
      </c>
      <c r="R15" s="2">
        <v>2.2369999999999998E-3</v>
      </c>
      <c r="T15" s="12">
        <v>1</v>
      </c>
      <c r="U15" s="7"/>
      <c r="V15" s="7"/>
      <c r="W15" s="8"/>
      <c r="X15" s="9"/>
      <c r="Y15" s="9"/>
      <c r="Z15" s="9"/>
      <c r="AA15" s="10"/>
      <c r="AB15" s="11"/>
      <c r="AC15"/>
      <c r="AD15"/>
      <c r="AE15"/>
      <c r="AF15"/>
      <c r="AG15"/>
    </row>
    <row r="16" spans="1:33" x14ac:dyDescent="0.2">
      <c r="A16" s="1" t="s">
        <v>79</v>
      </c>
      <c r="B16" s="5" t="s">
        <v>52</v>
      </c>
      <c r="C16" s="2">
        <v>1.892E-3</v>
      </c>
      <c r="D16" s="3">
        <v>2.5539999999999998E-3</v>
      </c>
      <c r="E16" s="11" t="s">
        <v>154</v>
      </c>
      <c r="F16" s="2"/>
      <c r="G16" s="2">
        <v>0</v>
      </c>
      <c r="H16" s="11"/>
      <c r="I16" s="2">
        <v>0.83333332999999998</v>
      </c>
      <c r="J16" s="2">
        <v>3.3333000000000002E-2</v>
      </c>
      <c r="K16" s="12" t="s">
        <v>30</v>
      </c>
      <c r="M16" s="3"/>
      <c r="N16" s="2">
        <v>0</v>
      </c>
      <c r="O16" s="2">
        <v>0</v>
      </c>
      <c r="P16" s="6">
        <v>0</v>
      </c>
      <c r="Q16" s="6">
        <v>0</v>
      </c>
      <c r="R16" s="2">
        <v>1.513E-3</v>
      </c>
      <c r="T16" s="12">
        <v>1</v>
      </c>
      <c r="U16" s="7"/>
      <c r="V16" s="7"/>
      <c r="W16" s="8"/>
      <c r="X16" s="9"/>
      <c r="Y16" s="9"/>
      <c r="Z16" s="9"/>
      <c r="AA16" s="10"/>
      <c r="AB16" s="11"/>
      <c r="AC16"/>
      <c r="AD16"/>
      <c r="AE16"/>
      <c r="AF16"/>
      <c r="AG16"/>
    </row>
    <row r="17" spans="1:33" x14ac:dyDescent="0.2">
      <c r="A17" s="1" t="s">
        <v>79</v>
      </c>
      <c r="B17" s="5" t="s">
        <v>52</v>
      </c>
      <c r="C17" s="2">
        <v>5.3117999999999999E-2</v>
      </c>
      <c r="D17" s="3">
        <v>7.1709999999999996E-2</v>
      </c>
      <c r="E17" s="11" t="s">
        <v>154</v>
      </c>
      <c r="F17" s="2"/>
      <c r="G17" s="2">
        <v>0</v>
      </c>
      <c r="H17" s="11"/>
      <c r="I17" s="2">
        <v>0.83333332999999998</v>
      </c>
      <c r="J17" s="2">
        <v>3.3333000000000002E-2</v>
      </c>
      <c r="K17" s="12" t="s">
        <v>30</v>
      </c>
      <c r="M17" s="3"/>
      <c r="N17" s="2">
        <v>0</v>
      </c>
      <c r="O17" s="2">
        <v>0</v>
      </c>
      <c r="P17" s="6">
        <v>0</v>
      </c>
      <c r="Q17" s="6">
        <v>0</v>
      </c>
      <c r="R17" s="2">
        <v>4.2494999999999998E-2</v>
      </c>
      <c r="T17" s="12">
        <v>1</v>
      </c>
      <c r="U17" s="7"/>
      <c r="V17" s="7"/>
      <c r="W17" s="8"/>
      <c r="X17" s="9"/>
      <c r="Y17" s="9"/>
      <c r="Z17" s="9"/>
      <c r="AA17" s="10"/>
      <c r="AB17" s="11"/>
      <c r="AC17"/>
      <c r="AD17"/>
      <c r="AE17"/>
      <c r="AF17"/>
      <c r="AG17"/>
    </row>
    <row r="18" spans="1:33" x14ac:dyDescent="0.2">
      <c r="A18" s="1" t="s">
        <v>79</v>
      </c>
      <c r="B18" s="5" t="s">
        <v>52</v>
      </c>
      <c r="C18" s="2">
        <v>3.5943999999999997E-2</v>
      </c>
      <c r="D18" s="3">
        <v>4.8524999999999999E-2</v>
      </c>
      <c r="E18" s="11" t="s">
        <v>154</v>
      </c>
      <c r="F18" s="2"/>
      <c r="G18" s="2">
        <v>0</v>
      </c>
      <c r="H18" s="11"/>
      <c r="I18" s="2">
        <v>0.83333332999999998</v>
      </c>
      <c r="J18" s="2">
        <v>3.3333000000000002E-2</v>
      </c>
      <c r="K18" s="12" t="s">
        <v>30</v>
      </c>
      <c r="M18" s="3"/>
      <c r="N18" s="2">
        <v>0</v>
      </c>
      <c r="O18" s="2">
        <v>0</v>
      </c>
      <c r="P18" s="6">
        <v>0</v>
      </c>
      <c r="Q18" s="6">
        <v>0</v>
      </c>
      <c r="R18" s="2">
        <v>2.8754999999999999E-2</v>
      </c>
      <c r="T18" s="12">
        <v>1</v>
      </c>
      <c r="U18" s="7"/>
      <c r="V18" s="7"/>
      <c r="W18" s="8"/>
      <c r="X18" s="9"/>
      <c r="Y18" s="9"/>
      <c r="Z18" s="9"/>
      <c r="AA18" s="10"/>
      <c r="AB18" s="11"/>
      <c r="AC18"/>
      <c r="AD18"/>
      <c r="AE18"/>
      <c r="AF18"/>
      <c r="AG18"/>
    </row>
    <row r="19" spans="1:33" x14ac:dyDescent="0.2">
      <c r="A19" s="1" t="s">
        <v>82</v>
      </c>
      <c r="B19" s="5" t="s">
        <v>52</v>
      </c>
      <c r="C19" s="2">
        <v>0.53437500000000004</v>
      </c>
      <c r="D19" s="3">
        <v>0.72140599999999999</v>
      </c>
      <c r="E19" s="11" t="s">
        <v>154</v>
      </c>
      <c r="F19" s="2"/>
      <c r="G19" s="2">
        <v>0</v>
      </c>
      <c r="H19" s="11"/>
      <c r="I19" s="2">
        <v>0.83333332999999998</v>
      </c>
      <c r="J19" s="2">
        <v>3.3333000000000002E-2</v>
      </c>
      <c r="K19" s="12" t="s">
        <v>30</v>
      </c>
      <c r="M19" s="3"/>
      <c r="N19" s="2">
        <v>0</v>
      </c>
      <c r="O19" s="2">
        <v>0</v>
      </c>
      <c r="P19" s="6">
        <v>0</v>
      </c>
      <c r="Q19" s="6">
        <v>0</v>
      </c>
      <c r="R19" s="2">
        <v>0.42749999999999999</v>
      </c>
      <c r="T19" s="12">
        <v>1</v>
      </c>
      <c r="U19" s="7"/>
      <c r="V19" s="7"/>
      <c r="W19" s="8"/>
      <c r="X19" s="9"/>
      <c r="Y19" s="9"/>
      <c r="Z19" s="9"/>
      <c r="AA19" s="10"/>
      <c r="AB19" s="11"/>
      <c r="AC19"/>
      <c r="AD19"/>
      <c r="AE19"/>
      <c r="AF19"/>
      <c r="AG19"/>
    </row>
    <row r="20" spans="1:33" x14ac:dyDescent="0.2">
      <c r="A20" s="1" t="s">
        <v>82</v>
      </c>
      <c r="B20" s="5" t="s">
        <v>52</v>
      </c>
      <c r="C20" s="2">
        <v>8.9063000000000003E-2</v>
      </c>
      <c r="D20" s="3">
        <v>0.12023399999999999</v>
      </c>
      <c r="E20" s="11" t="s">
        <v>154</v>
      </c>
      <c r="F20" s="2"/>
      <c r="G20" s="2">
        <v>0</v>
      </c>
      <c r="H20" s="11"/>
      <c r="I20" s="2">
        <v>0.83333332999999998</v>
      </c>
      <c r="J20" s="2">
        <v>3.3333000000000002E-2</v>
      </c>
      <c r="K20" s="12" t="s">
        <v>30</v>
      </c>
      <c r="M20" s="3"/>
      <c r="N20" s="2">
        <v>0</v>
      </c>
      <c r="O20" s="2">
        <v>0</v>
      </c>
      <c r="P20" s="6">
        <v>0</v>
      </c>
      <c r="Q20" s="6">
        <v>0</v>
      </c>
      <c r="R20" s="2">
        <v>7.1249999999999994E-2</v>
      </c>
      <c r="T20" s="12">
        <v>1</v>
      </c>
      <c r="U20" s="7"/>
      <c r="V20" s="7"/>
      <c r="W20" s="8"/>
      <c r="X20" s="9"/>
      <c r="Y20" s="9"/>
      <c r="Z20" s="9"/>
      <c r="AA20" s="10"/>
      <c r="AB20" s="11"/>
      <c r="AC20"/>
      <c r="AD20"/>
      <c r="AE20"/>
      <c r="AF20"/>
      <c r="AG20"/>
    </row>
    <row r="21" spans="1:33" x14ac:dyDescent="0.2">
      <c r="A21" s="1" t="s">
        <v>82</v>
      </c>
      <c r="B21" s="5" t="s">
        <v>52</v>
      </c>
      <c r="C21" s="2">
        <v>4.6880000000000003E-3</v>
      </c>
      <c r="D21" s="3">
        <v>6.3280000000000003E-3</v>
      </c>
      <c r="E21" s="11" t="s">
        <v>154</v>
      </c>
      <c r="F21" s="2"/>
      <c r="G21" s="2">
        <v>0</v>
      </c>
      <c r="H21" s="11"/>
      <c r="I21" s="2">
        <v>0.83333332999999998</v>
      </c>
      <c r="J21" s="2">
        <v>3.3333000000000002E-2</v>
      </c>
      <c r="K21" s="12" t="s">
        <v>30</v>
      </c>
      <c r="M21" s="3"/>
      <c r="N21" s="2">
        <v>0</v>
      </c>
      <c r="O21" s="2">
        <v>0</v>
      </c>
      <c r="P21" s="6">
        <v>0</v>
      </c>
      <c r="Q21" s="6">
        <v>0</v>
      </c>
      <c r="R21" s="2">
        <v>3.7499999999999999E-3</v>
      </c>
      <c r="T21" s="12">
        <v>1</v>
      </c>
      <c r="U21" s="7"/>
      <c r="V21" s="7"/>
      <c r="W21" s="8"/>
      <c r="X21" s="9"/>
      <c r="Y21" s="9"/>
      <c r="Z21" s="9"/>
      <c r="AA21" s="10"/>
      <c r="AB21" s="11"/>
      <c r="AC21"/>
      <c r="AD21"/>
      <c r="AE21"/>
      <c r="AF21"/>
      <c r="AG21"/>
    </row>
    <row r="22" spans="1:33" x14ac:dyDescent="0.2">
      <c r="A22" s="1" t="s">
        <v>82</v>
      </c>
      <c r="B22" s="5" t="s">
        <v>52</v>
      </c>
      <c r="C22" s="2">
        <v>2.8125000000000001E-2</v>
      </c>
      <c r="D22" s="3">
        <v>3.7969000000000003E-2</v>
      </c>
      <c r="E22" s="11" t="s">
        <v>154</v>
      </c>
      <c r="F22" s="2"/>
      <c r="G22" s="2">
        <v>0</v>
      </c>
      <c r="H22" s="11"/>
      <c r="I22" s="2">
        <v>0.83333332999999998</v>
      </c>
      <c r="J22" s="2">
        <v>3.3333000000000002E-2</v>
      </c>
      <c r="K22" s="12" t="s">
        <v>30</v>
      </c>
      <c r="M22" s="3"/>
      <c r="N22" s="2">
        <v>0</v>
      </c>
      <c r="O22" s="2">
        <v>0</v>
      </c>
      <c r="P22" s="6">
        <v>0</v>
      </c>
      <c r="Q22" s="6">
        <v>0</v>
      </c>
      <c r="R22" s="2">
        <v>2.2499999999999999E-2</v>
      </c>
      <c r="T22" s="12">
        <v>1</v>
      </c>
      <c r="U22" s="7"/>
      <c r="V22" s="7"/>
      <c r="W22" s="8"/>
      <c r="X22" s="9"/>
      <c r="Y22" s="9"/>
      <c r="Z22" s="9"/>
      <c r="AA22" s="10"/>
      <c r="AB22" s="11"/>
      <c r="AC22"/>
      <c r="AD22"/>
      <c r="AE22"/>
      <c r="AF22"/>
      <c r="AG22"/>
    </row>
    <row r="23" spans="1:33" x14ac:dyDescent="0.2">
      <c r="A23" s="1" t="s">
        <v>82</v>
      </c>
      <c r="B23" s="5" t="s">
        <v>52</v>
      </c>
      <c r="C23" s="2">
        <v>0.25</v>
      </c>
      <c r="D23" s="3">
        <v>0.33750000000000002</v>
      </c>
      <c r="E23" s="11" t="s">
        <v>154</v>
      </c>
      <c r="F23" s="2"/>
      <c r="G23" s="2">
        <v>0</v>
      </c>
      <c r="H23" s="11"/>
      <c r="I23" s="2">
        <v>0.83333332999999998</v>
      </c>
      <c r="J23" s="2">
        <v>3.3333000000000002E-2</v>
      </c>
      <c r="K23" s="12" t="s">
        <v>30</v>
      </c>
      <c r="M23" s="3"/>
      <c r="N23" s="2">
        <v>0</v>
      </c>
      <c r="O23" s="2">
        <v>0</v>
      </c>
      <c r="P23" s="6">
        <v>0</v>
      </c>
      <c r="Q23" s="6">
        <v>0</v>
      </c>
      <c r="R23" s="2">
        <v>0.2</v>
      </c>
      <c r="T23" s="12">
        <v>1</v>
      </c>
      <c r="U23" s="7"/>
      <c r="V23" s="7"/>
      <c r="W23" s="8"/>
      <c r="X23" s="9"/>
      <c r="Y23" s="9"/>
      <c r="Z23" s="9"/>
      <c r="AA23" s="10"/>
      <c r="AB23" s="11"/>
      <c r="AC23"/>
      <c r="AD23"/>
      <c r="AE23"/>
      <c r="AF23"/>
      <c r="AG23"/>
    </row>
    <row r="24" spans="1:33" x14ac:dyDescent="0.2">
      <c r="A24" s="1" t="s">
        <v>161</v>
      </c>
      <c r="B24" s="5" t="s">
        <v>21</v>
      </c>
      <c r="C24" s="2">
        <v>2.8570000000000002E-3</v>
      </c>
      <c r="D24" s="3">
        <v>0.91042800000000002</v>
      </c>
      <c r="E24" s="11" t="s">
        <v>100</v>
      </c>
      <c r="F24" s="2">
        <v>0.1875</v>
      </c>
      <c r="G24" s="2">
        <v>0</v>
      </c>
      <c r="H24" s="11"/>
      <c r="I24" s="2"/>
      <c r="J24" s="2">
        <v>0</v>
      </c>
      <c r="K24" s="12"/>
      <c r="M24" s="3"/>
      <c r="N24" s="2">
        <v>0</v>
      </c>
      <c r="O24" s="2">
        <v>0</v>
      </c>
      <c r="P24" s="6">
        <v>0</v>
      </c>
      <c r="Q24" s="6">
        <v>0</v>
      </c>
      <c r="R24" s="2">
        <v>5.3600000000000002E-4</v>
      </c>
      <c r="T24" s="12">
        <v>2</v>
      </c>
      <c r="U24" s="7"/>
      <c r="V24" s="7"/>
      <c r="W24" s="8"/>
      <c r="X24" s="9"/>
      <c r="Y24" s="9"/>
      <c r="Z24" s="9"/>
      <c r="AA24" s="10"/>
      <c r="AB24" s="11"/>
      <c r="AC24"/>
      <c r="AD24"/>
      <c r="AE24"/>
      <c r="AF24"/>
      <c r="AG24"/>
    </row>
    <row r="25" spans="1:33" ht="25.5" x14ac:dyDescent="0.2">
      <c r="A25" s="1" t="s">
        <v>166</v>
      </c>
      <c r="B25" s="5" t="s">
        <v>21</v>
      </c>
      <c r="C25" s="2">
        <v>3.333E-3</v>
      </c>
      <c r="D25" s="3">
        <v>1.0621659999999999</v>
      </c>
      <c r="E25" s="11" t="s">
        <v>28</v>
      </c>
      <c r="F25" s="2">
        <v>0.1875</v>
      </c>
      <c r="G25" s="2">
        <v>0</v>
      </c>
      <c r="H25" s="11"/>
      <c r="I25" s="2"/>
      <c r="J25" s="2">
        <v>0</v>
      </c>
      <c r="K25" s="12"/>
      <c r="M25" s="3"/>
      <c r="N25" s="2">
        <v>0</v>
      </c>
      <c r="O25" s="2">
        <v>0</v>
      </c>
      <c r="P25" s="6">
        <v>0</v>
      </c>
      <c r="Q25" s="6">
        <v>0</v>
      </c>
      <c r="R25" s="2">
        <v>6.2500000000000001E-4</v>
      </c>
      <c r="T25" s="12">
        <v>2</v>
      </c>
      <c r="U25" s="7"/>
      <c r="V25" s="7"/>
      <c r="W25" s="8"/>
      <c r="X25" s="9"/>
      <c r="Y25" s="9"/>
      <c r="Z25" s="9"/>
      <c r="AA25" s="10"/>
      <c r="AB25" s="11"/>
      <c r="AC25"/>
      <c r="AD25"/>
      <c r="AE25"/>
      <c r="AF25"/>
      <c r="AG25"/>
    </row>
    <row r="26" spans="1:33" x14ac:dyDescent="0.2">
      <c r="A26" s="1" t="s">
        <v>167</v>
      </c>
      <c r="B26" s="5" t="s">
        <v>21</v>
      </c>
      <c r="C26" s="2">
        <v>2.8570000000000002E-3</v>
      </c>
      <c r="D26" s="3">
        <v>0.91042800000000002</v>
      </c>
      <c r="E26" s="11" t="s">
        <v>100</v>
      </c>
      <c r="F26" s="2">
        <v>0.1875</v>
      </c>
      <c r="G26" s="2">
        <v>0</v>
      </c>
      <c r="H26" s="11"/>
      <c r="I26" s="2"/>
      <c r="J26" s="2">
        <v>0</v>
      </c>
      <c r="K26" s="12"/>
      <c r="M26" s="3"/>
      <c r="N26" s="2">
        <v>0</v>
      </c>
      <c r="O26" s="2">
        <v>0</v>
      </c>
      <c r="P26" s="6">
        <v>0</v>
      </c>
      <c r="Q26" s="6">
        <v>0</v>
      </c>
      <c r="R26" s="2">
        <v>5.3600000000000002E-4</v>
      </c>
      <c r="T26" s="12">
        <v>2</v>
      </c>
      <c r="U26" s="7"/>
      <c r="V26" s="7"/>
      <c r="W26" s="8"/>
      <c r="X26" s="9"/>
      <c r="Y26" s="9"/>
      <c r="Z26" s="9"/>
      <c r="AA26" s="10"/>
      <c r="AB26" s="11"/>
      <c r="AC26"/>
      <c r="AD26"/>
      <c r="AE26"/>
      <c r="AF26"/>
      <c r="AG26"/>
    </row>
    <row r="27" spans="1:33" x14ac:dyDescent="0.2">
      <c r="A27" s="1" t="s">
        <v>40</v>
      </c>
      <c r="B27" s="5" t="s">
        <v>21</v>
      </c>
      <c r="C27" s="2">
        <v>2.7799999999999998E-4</v>
      </c>
      <c r="D27" s="3">
        <v>8.8514999999999996E-2</v>
      </c>
      <c r="E27" s="11" t="s">
        <v>168</v>
      </c>
      <c r="F27" s="2">
        <v>0.1875</v>
      </c>
      <c r="G27" s="2">
        <v>0</v>
      </c>
      <c r="H27" s="11"/>
      <c r="I27" s="2"/>
      <c r="J27" s="2">
        <v>0</v>
      </c>
      <c r="K27" s="12"/>
      <c r="M27" s="3"/>
      <c r="N27" s="2">
        <v>0</v>
      </c>
      <c r="O27" s="2">
        <v>0</v>
      </c>
      <c r="P27" s="6">
        <v>0</v>
      </c>
      <c r="Q27" s="6">
        <v>0</v>
      </c>
      <c r="R27" s="2">
        <v>5.1999999999999997E-5</v>
      </c>
      <c r="T27" s="12">
        <v>2</v>
      </c>
      <c r="U27" s="7"/>
      <c r="V27" s="7"/>
      <c r="W27" s="8"/>
      <c r="X27" s="9"/>
      <c r="Y27" s="9"/>
      <c r="Z27" s="9"/>
      <c r="AA27" s="10"/>
      <c r="AB27" s="11"/>
      <c r="AC27"/>
      <c r="AD27"/>
      <c r="AE27"/>
      <c r="AF27"/>
      <c r="AG27"/>
    </row>
    <row r="28" spans="1:33" x14ac:dyDescent="0.2">
      <c r="A28" s="1" t="s">
        <v>40</v>
      </c>
      <c r="B28" s="5" t="s">
        <v>21</v>
      </c>
      <c r="C28" s="2">
        <v>4.17E-4</v>
      </c>
      <c r="D28" s="3">
        <v>0.132772</v>
      </c>
      <c r="E28" s="11" t="s">
        <v>168</v>
      </c>
      <c r="F28" s="2">
        <v>0.1875</v>
      </c>
      <c r="G28" s="2">
        <v>0</v>
      </c>
      <c r="H28" s="11"/>
      <c r="I28" s="2"/>
      <c r="J28" s="2">
        <v>0</v>
      </c>
      <c r="K28" s="12"/>
      <c r="M28" s="3"/>
      <c r="N28" s="2">
        <v>0</v>
      </c>
      <c r="O28" s="2">
        <v>0</v>
      </c>
      <c r="P28" s="6">
        <v>0</v>
      </c>
      <c r="Q28" s="6">
        <v>0</v>
      </c>
      <c r="R28" s="2">
        <v>7.7999999999999999E-5</v>
      </c>
      <c r="T28" s="12">
        <v>2</v>
      </c>
      <c r="U28" s="7"/>
      <c r="V28" s="7"/>
      <c r="W28" s="8"/>
      <c r="X28" s="9"/>
      <c r="Y28" s="9"/>
      <c r="Z28" s="9"/>
      <c r="AA28" s="10"/>
      <c r="AB28" s="11"/>
      <c r="AC28"/>
      <c r="AD28"/>
      <c r="AE28"/>
      <c r="AF28"/>
      <c r="AG28"/>
    </row>
    <row r="29" spans="1:33" x14ac:dyDescent="0.2">
      <c r="A29" s="1" t="s">
        <v>40</v>
      </c>
      <c r="B29" s="5" t="s">
        <v>21</v>
      </c>
      <c r="C29" s="2">
        <v>9.2999999999999997E-5</v>
      </c>
      <c r="D29" s="3">
        <v>2.9503999999999999E-2</v>
      </c>
      <c r="E29" s="11" t="s">
        <v>168</v>
      </c>
      <c r="F29" s="2">
        <v>0.1875</v>
      </c>
      <c r="G29" s="2">
        <v>0</v>
      </c>
      <c r="H29" s="11"/>
      <c r="I29" s="2"/>
      <c r="J29" s="2">
        <v>0</v>
      </c>
      <c r="K29" s="12"/>
      <c r="M29" s="3"/>
      <c r="N29" s="2">
        <v>0</v>
      </c>
      <c r="O29" s="2">
        <v>0</v>
      </c>
      <c r="P29" s="6">
        <v>0</v>
      </c>
      <c r="Q29" s="6">
        <v>0</v>
      </c>
      <c r="R29" s="2">
        <v>1.7E-5</v>
      </c>
      <c r="T29" s="12">
        <v>2</v>
      </c>
      <c r="U29" s="7"/>
      <c r="V29" s="7"/>
      <c r="W29" s="8"/>
      <c r="X29" s="9"/>
      <c r="Y29" s="9"/>
      <c r="Z29" s="9"/>
      <c r="AA29" s="10"/>
      <c r="AB29" s="11"/>
      <c r="AC29"/>
      <c r="AD29"/>
      <c r="AE29"/>
      <c r="AF29"/>
      <c r="AG29"/>
    </row>
    <row r="30" spans="1:33" x14ac:dyDescent="0.2">
      <c r="A30" s="1" t="s">
        <v>40</v>
      </c>
      <c r="B30" s="5" t="s">
        <v>21</v>
      </c>
      <c r="C30" s="2">
        <v>4.17E-4</v>
      </c>
      <c r="D30" s="3">
        <v>0.132772</v>
      </c>
      <c r="E30" s="11" t="s">
        <v>168</v>
      </c>
      <c r="F30" s="2">
        <v>0.1875</v>
      </c>
      <c r="G30" s="2">
        <v>0</v>
      </c>
      <c r="H30" s="11"/>
      <c r="I30" s="2"/>
      <c r="J30" s="2">
        <v>0</v>
      </c>
      <c r="K30" s="12"/>
      <c r="M30" s="3"/>
      <c r="N30" s="2">
        <v>0</v>
      </c>
      <c r="O30" s="2">
        <v>0</v>
      </c>
      <c r="P30" s="6">
        <v>0</v>
      </c>
      <c r="Q30" s="6">
        <v>0</v>
      </c>
      <c r="R30" s="2">
        <v>7.7999999999999999E-5</v>
      </c>
      <c r="T30" s="12">
        <v>2</v>
      </c>
      <c r="U30" s="7"/>
      <c r="V30" s="7"/>
      <c r="W30" s="8"/>
      <c r="X30" s="9"/>
      <c r="Y30" s="9"/>
      <c r="Z30" s="9"/>
      <c r="AA30" s="10"/>
      <c r="AB30" s="11"/>
      <c r="AC30"/>
      <c r="AD30"/>
      <c r="AE30"/>
      <c r="AF30"/>
      <c r="AG30"/>
    </row>
    <row r="31" spans="1:33" x14ac:dyDescent="0.2">
      <c r="A31" s="1" t="s">
        <v>40</v>
      </c>
      <c r="B31" s="5" t="s">
        <v>21</v>
      </c>
      <c r="C31" s="2">
        <v>4.17E-4</v>
      </c>
      <c r="D31" s="3">
        <v>0.132771</v>
      </c>
      <c r="E31" s="11" t="s">
        <v>168</v>
      </c>
      <c r="F31" s="2">
        <v>0.1875</v>
      </c>
      <c r="G31" s="2">
        <v>0</v>
      </c>
      <c r="H31" s="11"/>
      <c r="I31" s="2"/>
      <c r="J31" s="2">
        <v>0</v>
      </c>
      <c r="K31" s="12"/>
      <c r="M31" s="3"/>
      <c r="N31" s="2">
        <v>0</v>
      </c>
      <c r="O31" s="2">
        <v>0</v>
      </c>
      <c r="P31" s="6">
        <v>0</v>
      </c>
      <c r="Q31" s="6">
        <v>0</v>
      </c>
      <c r="R31" s="2">
        <v>7.7999999999999999E-5</v>
      </c>
      <c r="T31" s="12">
        <v>2</v>
      </c>
      <c r="U31" s="7"/>
      <c r="V31" s="7"/>
      <c r="W31" s="8"/>
      <c r="X31" s="9"/>
      <c r="Y31" s="9"/>
      <c r="Z31" s="9"/>
      <c r="AA31" s="10"/>
      <c r="AB31" s="11"/>
      <c r="AC31"/>
      <c r="AD31"/>
      <c r="AE31"/>
      <c r="AF31"/>
      <c r="AG31"/>
    </row>
    <row r="32" spans="1:33" x14ac:dyDescent="0.2">
      <c r="A32" s="1" t="s">
        <v>40</v>
      </c>
      <c r="B32" s="5" t="s">
        <v>21</v>
      </c>
      <c r="C32" s="2">
        <v>3.1000000000000001E-5</v>
      </c>
      <c r="D32" s="3">
        <v>9.9579999999999998E-3</v>
      </c>
      <c r="E32" s="11" t="s">
        <v>168</v>
      </c>
      <c r="F32" s="2">
        <v>0.1875</v>
      </c>
      <c r="G32" s="2">
        <v>0</v>
      </c>
      <c r="H32" s="11"/>
      <c r="I32" s="2"/>
      <c r="J32" s="2">
        <v>0</v>
      </c>
      <c r="K32" s="12"/>
      <c r="M32" s="3"/>
      <c r="N32" s="2">
        <v>0</v>
      </c>
      <c r="O32" s="2">
        <v>0</v>
      </c>
      <c r="P32" s="6">
        <v>0</v>
      </c>
      <c r="Q32" s="6">
        <v>0</v>
      </c>
      <c r="R32" s="2">
        <v>6.0000000000000002E-6</v>
      </c>
      <c r="T32" s="12">
        <v>2</v>
      </c>
      <c r="U32" s="7"/>
      <c r="V32" s="7"/>
      <c r="W32" s="8"/>
      <c r="X32" s="9"/>
      <c r="Y32" s="9"/>
      <c r="Z32" s="9"/>
      <c r="AA32" s="10"/>
      <c r="AB32" s="11"/>
      <c r="AC32"/>
      <c r="AD32"/>
      <c r="AE32"/>
      <c r="AF32"/>
      <c r="AG32"/>
    </row>
    <row r="33" spans="1:33" x14ac:dyDescent="0.2">
      <c r="A33" s="1" t="s">
        <v>40</v>
      </c>
      <c r="B33" s="5" t="s">
        <v>21</v>
      </c>
      <c r="C33" s="2">
        <v>9.2999999999999997E-5</v>
      </c>
      <c r="D33" s="3">
        <v>2.9503999999999999E-2</v>
      </c>
      <c r="E33" s="11" t="s">
        <v>168</v>
      </c>
      <c r="F33" s="2">
        <v>0.1875</v>
      </c>
      <c r="G33" s="2">
        <v>0</v>
      </c>
      <c r="H33" s="11"/>
      <c r="I33" s="2"/>
      <c r="J33" s="2">
        <v>0</v>
      </c>
      <c r="K33" s="12"/>
      <c r="M33" s="3"/>
      <c r="N33" s="2">
        <v>0</v>
      </c>
      <c r="O33" s="2">
        <v>0</v>
      </c>
      <c r="P33" s="6">
        <v>0</v>
      </c>
      <c r="Q33" s="6">
        <v>0</v>
      </c>
      <c r="R33" s="2">
        <v>1.7E-5</v>
      </c>
      <c r="T33" s="12">
        <v>2</v>
      </c>
      <c r="U33" s="7"/>
      <c r="V33" s="7"/>
      <c r="W33" s="8"/>
      <c r="X33" s="9"/>
      <c r="Y33" s="9"/>
      <c r="Z33" s="9"/>
      <c r="AA33" s="10"/>
      <c r="AB33" s="11"/>
      <c r="AC33"/>
      <c r="AD33"/>
      <c r="AE33"/>
      <c r="AF33"/>
      <c r="AG33"/>
    </row>
    <row r="34" spans="1:33" x14ac:dyDescent="0.2">
      <c r="A34" s="1" t="s">
        <v>40</v>
      </c>
      <c r="B34" s="5" t="s">
        <v>21</v>
      </c>
      <c r="C34" s="2">
        <v>2.7799999999999998E-4</v>
      </c>
      <c r="D34" s="3">
        <v>8.8514999999999996E-2</v>
      </c>
      <c r="E34" s="11" t="s">
        <v>168</v>
      </c>
      <c r="F34" s="2">
        <v>0.1875</v>
      </c>
      <c r="G34" s="2">
        <v>0</v>
      </c>
      <c r="H34" s="11"/>
      <c r="I34" s="2"/>
      <c r="J34" s="2">
        <v>0</v>
      </c>
      <c r="K34" s="12"/>
      <c r="M34" s="3"/>
      <c r="N34" s="2">
        <v>0</v>
      </c>
      <c r="O34" s="2">
        <v>0</v>
      </c>
      <c r="P34" s="6">
        <v>0</v>
      </c>
      <c r="Q34" s="6">
        <v>0</v>
      </c>
      <c r="R34" s="2">
        <v>5.1999999999999997E-5</v>
      </c>
      <c r="T34" s="12">
        <v>2</v>
      </c>
      <c r="U34" s="7"/>
      <c r="V34" s="7"/>
      <c r="W34" s="8"/>
      <c r="X34" s="9"/>
      <c r="Y34" s="9"/>
      <c r="Z34" s="9"/>
      <c r="AA34" s="10"/>
      <c r="AB34" s="11"/>
      <c r="AC34"/>
      <c r="AD34"/>
      <c r="AE34"/>
      <c r="AF34"/>
      <c r="AG34"/>
    </row>
    <row r="35" spans="1:33" x14ac:dyDescent="0.2">
      <c r="A35" s="1" t="s">
        <v>40</v>
      </c>
      <c r="B35" s="5" t="s">
        <v>21</v>
      </c>
      <c r="C35" s="2">
        <v>9.2999999999999997E-5</v>
      </c>
      <c r="D35" s="3">
        <v>2.9503999999999999E-2</v>
      </c>
      <c r="E35" s="11" t="s">
        <v>168</v>
      </c>
      <c r="F35" s="2">
        <v>0.1875</v>
      </c>
      <c r="G35" s="2">
        <v>0</v>
      </c>
      <c r="H35" s="11"/>
      <c r="I35" s="2"/>
      <c r="J35" s="2">
        <v>0</v>
      </c>
      <c r="K35" s="12"/>
      <c r="M35" s="3"/>
      <c r="N35" s="2">
        <v>0</v>
      </c>
      <c r="O35" s="2">
        <v>0</v>
      </c>
      <c r="P35" s="6">
        <v>0</v>
      </c>
      <c r="Q35" s="6">
        <v>0</v>
      </c>
      <c r="R35" s="2">
        <v>1.7E-5</v>
      </c>
      <c r="T35" s="12">
        <v>2</v>
      </c>
      <c r="U35" s="7"/>
      <c r="V35" s="7"/>
      <c r="W35" s="8"/>
      <c r="X35" s="9"/>
      <c r="Y35" s="9"/>
      <c r="Z35" s="9"/>
      <c r="AA35" s="10"/>
      <c r="AB35" s="11"/>
      <c r="AC35"/>
      <c r="AD35"/>
      <c r="AE35"/>
      <c r="AF35"/>
      <c r="AG35"/>
    </row>
    <row r="36" spans="1:33" x14ac:dyDescent="0.2">
      <c r="A36" s="1" t="s">
        <v>169</v>
      </c>
      <c r="B36" s="5" t="s">
        <v>21</v>
      </c>
      <c r="C36" s="2">
        <v>3.333E-3</v>
      </c>
      <c r="D36" s="3">
        <v>1.0621659999999999</v>
      </c>
      <c r="E36" s="11" t="s">
        <v>28</v>
      </c>
      <c r="F36" s="2">
        <v>0.1875</v>
      </c>
      <c r="G36" s="2">
        <v>0</v>
      </c>
      <c r="H36" s="11"/>
      <c r="I36" s="2"/>
      <c r="J36" s="2">
        <v>0</v>
      </c>
      <c r="K36" s="12"/>
      <c r="M36" s="3"/>
      <c r="N36" s="2">
        <v>0</v>
      </c>
      <c r="O36" s="2">
        <v>0</v>
      </c>
      <c r="P36" s="6">
        <v>0</v>
      </c>
      <c r="Q36" s="6">
        <v>0</v>
      </c>
      <c r="R36" s="2">
        <v>6.2500000000000001E-4</v>
      </c>
      <c r="T36" s="12">
        <v>2</v>
      </c>
      <c r="U36" s="7"/>
      <c r="V36" s="7"/>
      <c r="W36" s="8"/>
      <c r="X36" s="9"/>
      <c r="Y36" s="9"/>
      <c r="Z36" s="9"/>
      <c r="AA36" s="10"/>
      <c r="AB36" s="11"/>
      <c r="AC36"/>
      <c r="AD36"/>
      <c r="AE36"/>
      <c r="AF36"/>
      <c r="AG36"/>
    </row>
    <row r="37" spans="1:33" x14ac:dyDescent="0.2">
      <c r="A37" s="1" t="s">
        <v>50</v>
      </c>
      <c r="B37" s="5" t="s">
        <v>21</v>
      </c>
      <c r="C37" s="2">
        <v>2.1670000000000001E-3</v>
      </c>
      <c r="D37" s="3">
        <v>0.69040800000000002</v>
      </c>
      <c r="E37" s="11" t="s">
        <v>168</v>
      </c>
      <c r="F37" s="2">
        <v>0.1875</v>
      </c>
      <c r="G37" s="2">
        <v>0</v>
      </c>
      <c r="H37" s="11"/>
      <c r="I37" s="2"/>
      <c r="J37" s="2">
        <v>0</v>
      </c>
      <c r="K37" s="12"/>
      <c r="M37" s="3"/>
      <c r="N37" s="2">
        <v>0</v>
      </c>
      <c r="O37" s="2">
        <v>0</v>
      </c>
      <c r="P37" s="6">
        <v>0</v>
      </c>
      <c r="Q37" s="6">
        <v>0</v>
      </c>
      <c r="R37" s="2">
        <v>4.06E-4</v>
      </c>
      <c r="T37" s="12">
        <v>2</v>
      </c>
      <c r="U37" s="7"/>
      <c r="V37" s="7"/>
      <c r="W37" s="8"/>
      <c r="X37" s="9"/>
      <c r="Y37" s="9"/>
      <c r="Z37" s="9"/>
      <c r="AA37" s="10"/>
      <c r="AB37" s="11"/>
      <c r="AC37"/>
      <c r="AD37"/>
      <c r="AE37"/>
      <c r="AF37"/>
      <c r="AG37"/>
    </row>
    <row r="38" spans="1:33" x14ac:dyDescent="0.2">
      <c r="A38" s="1" t="s">
        <v>50</v>
      </c>
      <c r="B38" s="5" t="s">
        <v>21</v>
      </c>
      <c r="C38" s="2">
        <v>1.63E-4</v>
      </c>
      <c r="D38" s="3">
        <v>5.1781000000000001E-2</v>
      </c>
      <c r="E38" s="11" t="s">
        <v>168</v>
      </c>
      <c r="F38" s="2">
        <v>0.1875</v>
      </c>
      <c r="G38" s="2">
        <v>0</v>
      </c>
      <c r="H38" s="11"/>
      <c r="I38" s="2"/>
      <c r="J38" s="2">
        <v>0</v>
      </c>
      <c r="K38" s="12"/>
      <c r="M38" s="3"/>
      <c r="N38" s="2">
        <v>0</v>
      </c>
      <c r="O38" s="2">
        <v>0</v>
      </c>
      <c r="P38" s="6">
        <v>0</v>
      </c>
      <c r="Q38" s="6">
        <v>0</v>
      </c>
      <c r="R38" s="2">
        <v>3.0000000000000001E-5</v>
      </c>
      <c r="T38" s="12">
        <v>2</v>
      </c>
      <c r="U38" s="7"/>
      <c r="V38" s="7"/>
      <c r="W38" s="8"/>
      <c r="X38" s="9"/>
      <c r="Y38" s="9"/>
      <c r="Z38" s="9"/>
      <c r="AA38" s="10"/>
      <c r="AB38" s="11"/>
      <c r="AC38"/>
      <c r="AD38"/>
      <c r="AE38"/>
      <c r="AF38"/>
      <c r="AG38"/>
    </row>
    <row r="39" spans="1:33" x14ac:dyDescent="0.2">
      <c r="A39" s="1" t="s">
        <v>50</v>
      </c>
      <c r="B39" s="5" t="s">
        <v>21</v>
      </c>
      <c r="C39" s="2">
        <v>2.1670000000000001E-3</v>
      </c>
      <c r="D39" s="3">
        <v>0.69040900000000005</v>
      </c>
      <c r="E39" s="11" t="s">
        <v>168</v>
      </c>
      <c r="F39" s="2">
        <v>0.1875</v>
      </c>
      <c r="G39" s="2">
        <v>0</v>
      </c>
      <c r="H39" s="11"/>
      <c r="I39" s="2"/>
      <c r="J39" s="2">
        <v>0</v>
      </c>
      <c r="K39" s="12"/>
      <c r="M39" s="3"/>
      <c r="N39" s="2">
        <v>0</v>
      </c>
      <c r="O39" s="2">
        <v>0</v>
      </c>
      <c r="P39" s="6">
        <v>0</v>
      </c>
      <c r="Q39" s="6">
        <v>0</v>
      </c>
      <c r="R39" s="2">
        <v>4.06E-4</v>
      </c>
      <c r="T39" s="12">
        <v>2</v>
      </c>
      <c r="U39" s="7"/>
      <c r="V39" s="7"/>
      <c r="W39" s="8"/>
      <c r="X39" s="9"/>
      <c r="Y39" s="9"/>
      <c r="Z39" s="9"/>
      <c r="AA39" s="10"/>
      <c r="AB39" s="11"/>
      <c r="AC39"/>
      <c r="AD39"/>
      <c r="AE39"/>
      <c r="AF39"/>
      <c r="AG39"/>
    </row>
    <row r="40" spans="1:33" x14ac:dyDescent="0.2">
      <c r="A40" s="1" t="s">
        <v>50</v>
      </c>
      <c r="B40" s="5" t="s">
        <v>21</v>
      </c>
      <c r="C40" s="2">
        <v>4.8099999999999998E-4</v>
      </c>
      <c r="D40" s="3">
        <v>0.153424</v>
      </c>
      <c r="E40" s="11" t="s">
        <v>168</v>
      </c>
      <c r="F40" s="2">
        <v>0.1875</v>
      </c>
      <c r="G40" s="2">
        <v>0</v>
      </c>
      <c r="H40" s="11"/>
      <c r="I40" s="2"/>
      <c r="J40" s="2">
        <v>0</v>
      </c>
      <c r="K40" s="12"/>
      <c r="M40" s="3"/>
      <c r="N40" s="2">
        <v>0</v>
      </c>
      <c r="O40" s="2">
        <v>0</v>
      </c>
      <c r="P40" s="6">
        <v>0</v>
      </c>
      <c r="Q40" s="6">
        <v>0</v>
      </c>
      <c r="R40" s="2">
        <v>9.0000000000000006E-5</v>
      </c>
      <c r="T40" s="12">
        <v>2</v>
      </c>
      <c r="U40" s="7"/>
      <c r="V40" s="7"/>
      <c r="W40" s="8"/>
      <c r="X40" s="9"/>
      <c r="Y40" s="9"/>
      <c r="Z40" s="9"/>
      <c r="AA40" s="10"/>
      <c r="AB40" s="11"/>
      <c r="AC40"/>
      <c r="AD40"/>
      <c r="AE40"/>
      <c r="AF40"/>
      <c r="AG40"/>
    </row>
    <row r="41" spans="1:33" x14ac:dyDescent="0.2">
      <c r="A41" s="1" t="s">
        <v>50</v>
      </c>
      <c r="B41" s="5" t="s">
        <v>21</v>
      </c>
      <c r="C41" s="2">
        <v>4.8099999999999998E-4</v>
      </c>
      <c r="D41" s="3">
        <v>0.153424</v>
      </c>
      <c r="E41" s="11" t="s">
        <v>168</v>
      </c>
      <c r="F41" s="2">
        <v>0.1875</v>
      </c>
      <c r="G41" s="2">
        <v>0</v>
      </c>
      <c r="H41" s="11"/>
      <c r="I41" s="2"/>
      <c r="J41" s="2">
        <v>0</v>
      </c>
      <c r="K41" s="12"/>
      <c r="M41" s="3"/>
      <c r="N41" s="2">
        <v>0</v>
      </c>
      <c r="O41" s="2">
        <v>0</v>
      </c>
      <c r="P41" s="6">
        <v>0</v>
      </c>
      <c r="Q41" s="6">
        <v>0</v>
      </c>
      <c r="R41" s="2">
        <v>9.0000000000000006E-5</v>
      </c>
      <c r="T41" s="12">
        <v>2</v>
      </c>
      <c r="U41" s="7"/>
      <c r="V41" s="7"/>
      <c r="W41" s="8"/>
      <c r="X41" s="9"/>
      <c r="Y41" s="9"/>
      <c r="Z41" s="9"/>
      <c r="AA41" s="10"/>
      <c r="AB41" s="11"/>
      <c r="AC41"/>
      <c r="AD41"/>
      <c r="AE41"/>
      <c r="AF41"/>
      <c r="AG41"/>
    </row>
    <row r="42" spans="1:33" x14ac:dyDescent="0.2">
      <c r="A42" s="1" t="s">
        <v>50</v>
      </c>
      <c r="B42" s="5" t="s">
        <v>21</v>
      </c>
      <c r="C42" s="2">
        <v>1.444E-3</v>
      </c>
      <c r="D42" s="3">
        <v>0.46027099999999999</v>
      </c>
      <c r="E42" s="11" t="s">
        <v>168</v>
      </c>
      <c r="F42" s="2">
        <v>0.1875</v>
      </c>
      <c r="G42" s="2">
        <v>0</v>
      </c>
      <c r="H42" s="11"/>
      <c r="I42" s="2"/>
      <c r="J42" s="2">
        <v>0</v>
      </c>
      <c r="K42" s="12"/>
      <c r="M42" s="3"/>
      <c r="N42" s="2">
        <v>0</v>
      </c>
      <c r="O42" s="2">
        <v>0</v>
      </c>
      <c r="P42" s="6">
        <v>0</v>
      </c>
      <c r="Q42" s="6">
        <v>0</v>
      </c>
      <c r="R42" s="2">
        <v>2.7099999999999997E-4</v>
      </c>
      <c r="T42" s="12">
        <v>2</v>
      </c>
      <c r="U42" s="7"/>
      <c r="V42" s="7"/>
      <c r="W42" s="8"/>
      <c r="X42" s="9"/>
      <c r="Y42" s="9"/>
      <c r="Z42" s="9"/>
      <c r="AA42" s="10"/>
      <c r="AB42" s="11"/>
      <c r="AC42"/>
      <c r="AD42"/>
      <c r="AE42"/>
      <c r="AF42"/>
      <c r="AG42"/>
    </row>
    <row r="43" spans="1:33" x14ac:dyDescent="0.2">
      <c r="A43" s="1" t="s">
        <v>50</v>
      </c>
      <c r="B43" s="5" t="s">
        <v>21</v>
      </c>
      <c r="C43" s="2">
        <v>4.8099999999999998E-4</v>
      </c>
      <c r="D43" s="3">
        <v>0.153424</v>
      </c>
      <c r="E43" s="11" t="s">
        <v>168</v>
      </c>
      <c r="F43" s="2">
        <v>0.1875</v>
      </c>
      <c r="G43" s="2">
        <v>0</v>
      </c>
      <c r="H43" s="11"/>
      <c r="I43" s="2"/>
      <c r="J43" s="2">
        <v>0</v>
      </c>
      <c r="K43" s="12"/>
      <c r="M43" s="3"/>
      <c r="N43" s="2">
        <v>0</v>
      </c>
      <c r="O43" s="2">
        <v>0</v>
      </c>
      <c r="P43" s="6">
        <v>0</v>
      </c>
      <c r="Q43" s="6">
        <v>0</v>
      </c>
      <c r="R43" s="2">
        <v>9.0000000000000006E-5</v>
      </c>
      <c r="T43" s="12">
        <v>2</v>
      </c>
      <c r="U43" s="7"/>
      <c r="V43" s="7"/>
      <c r="W43" s="8"/>
      <c r="X43" s="9"/>
      <c r="Y43" s="9"/>
      <c r="Z43" s="9"/>
      <c r="AA43" s="10"/>
      <c r="AB43" s="11"/>
      <c r="AC43"/>
      <c r="AD43"/>
      <c r="AE43"/>
      <c r="AF43"/>
      <c r="AG43"/>
    </row>
    <row r="44" spans="1:33" x14ac:dyDescent="0.2">
      <c r="A44" s="1" t="s">
        <v>50</v>
      </c>
      <c r="B44" s="5" t="s">
        <v>21</v>
      </c>
      <c r="C44" s="2">
        <v>1.444E-3</v>
      </c>
      <c r="D44" s="3">
        <v>0.46027099999999999</v>
      </c>
      <c r="E44" s="11" t="s">
        <v>168</v>
      </c>
      <c r="F44" s="2">
        <v>0.1875</v>
      </c>
      <c r="G44" s="2">
        <v>0</v>
      </c>
      <c r="H44" s="11"/>
      <c r="I44" s="2"/>
      <c r="J44" s="2">
        <v>0</v>
      </c>
      <c r="K44" s="12"/>
      <c r="M44" s="3"/>
      <c r="N44" s="2">
        <v>0</v>
      </c>
      <c r="O44" s="2">
        <v>0</v>
      </c>
      <c r="P44" s="6">
        <v>0</v>
      </c>
      <c r="Q44" s="6">
        <v>0</v>
      </c>
      <c r="R44" s="2">
        <v>2.7099999999999997E-4</v>
      </c>
      <c r="T44" s="12">
        <v>2</v>
      </c>
      <c r="U44" s="7"/>
      <c r="V44" s="7"/>
      <c r="W44" s="8"/>
      <c r="X44" s="9"/>
      <c r="Y44" s="9"/>
      <c r="Z44" s="9"/>
      <c r="AA44" s="10"/>
      <c r="AB44" s="11"/>
      <c r="AC44"/>
      <c r="AD44"/>
      <c r="AE44"/>
      <c r="AF44"/>
      <c r="AG44"/>
    </row>
    <row r="45" spans="1:33" x14ac:dyDescent="0.2">
      <c r="A45" s="1" t="s">
        <v>50</v>
      </c>
      <c r="B45" s="5" t="s">
        <v>21</v>
      </c>
      <c r="C45" s="2">
        <v>6.6670000000000002E-3</v>
      </c>
      <c r="D45" s="3">
        <v>2.1243340000000002</v>
      </c>
      <c r="E45" s="11" t="s">
        <v>168</v>
      </c>
      <c r="F45" s="2">
        <v>0.1875</v>
      </c>
      <c r="G45" s="2">
        <v>0</v>
      </c>
      <c r="H45" s="11"/>
      <c r="I45" s="2"/>
      <c r="J45" s="2">
        <v>0</v>
      </c>
      <c r="K45" s="12"/>
      <c r="M45" s="3"/>
      <c r="N45" s="2">
        <v>0</v>
      </c>
      <c r="O45" s="2">
        <v>0</v>
      </c>
      <c r="P45" s="6">
        <v>0</v>
      </c>
      <c r="Q45" s="6">
        <v>0</v>
      </c>
      <c r="R45" s="2">
        <v>1.25E-3</v>
      </c>
      <c r="T45" s="12">
        <v>2</v>
      </c>
      <c r="U45" s="7"/>
      <c r="V45" s="7"/>
      <c r="W45" s="8"/>
      <c r="X45" s="9"/>
      <c r="Y45" s="9"/>
      <c r="Z45" s="9"/>
      <c r="AA45" s="10"/>
      <c r="AB45" s="11"/>
      <c r="AC45"/>
      <c r="AD45"/>
      <c r="AE45"/>
      <c r="AF45"/>
      <c r="AG45"/>
    </row>
    <row r="46" spans="1:33" x14ac:dyDescent="0.2">
      <c r="A46" s="1" t="s">
        <v>50</v>
      </c>
      <c r="B46" s="5" t="s">
        <v>21</v>
      </c>
      <c r="C46" s="2">
        <v>2.1670000000000001E-3</v>
      </c>
      <c r="D46" s="3">
        <v>0.69040900000000005</v>
      </c>
      <c r="E46" s="11" t="s">
        <v>168</v>
      </c>
      <c r="F46" s="2">
        <v>0.1875</v>
      </c>
      <c r="G46" s="2">
        <v>0</v>
      </c>
      <c r="H46" s="11"/>
      <c r="I46" s="2"/>
      <c r="J46" s="2">
        <v>0</v>
      </c>
      <c r="K46" s="12"/>
      <c r="M46" s="3"/>
      <c r="N46" s="2">
        <v>0</v>
      </c>
      <c r="O46" s="2">
        <v>0</v>
      </c>
      <c r="P46" s="6">
        <v>0</v>
      </c>
      <c r="Q46" s="6">
        <v>0</v>
      </c>
      <c r="R46" s="2">
        <v>4.06E-4</v>
      </c>
      <c r="T46" s="12">
        <v>2</v>
      </c>
      <c r="U46" s="7"/>
      <c r="V46" s="7"/>
      <c r="W46" s="8"/>
      <c r="X46" s="9"/>
      <c r="Y46" s="9"/>
      <c r="Z46" s="9"/>
      <c r="AA46" s="10"/>
      <c r="AB46" s="11"/>
      <c r="AC46"/>
      <c r="AD46"/>
      <c r="AE46"/>
      <c r="AF46"/>
      <c r="AG46"/>
    </row>
    <row r="47" spans="1:33" x14ac:dyDescent="0.2">
      <c r="A47" s="1" t="s">
        <v>172</v>
      </c>
      <c r="B47" s="5" t="s">
        <v>21</v>
      </c>
      <c r="C47" s="2">
        <v>3.333E-3</v>
      </c>
      <c r="D47" s="3">
        <v>1.0621659999999999</v>
      </c>
      <c r="E47" s="11" t="s">
        <v>27</v>
      </c>
      <c r="F47" s="2">
        <v>0.1875</v>
      </c>
      <c r="G47" s="2">
        <v>0</v>
      </c>
      <c r="H47" s="11"/>
      <c r="I47" s="2"/>
      <c r="J47" s="2">
        <v>0</v>
      </c>
      <c r="K47" s="12"/>
      <c r="M47" s="3"/>
      <c r="N47" s="2">
        <v>0</v>
      </c>
      <c r="O47" s="2">
        <v>0</v>
      </c>
      <c r="P47" s="6">
        <v>0</v>
      </c>
      <c r="Q47" s="6">
        <v>0</v>
      </c>
      <c r="R47" s="2">
        <v>6.2500000000000001E-4</v>
      </c>
      <c r="T47" s="12">
        <v>2</v>
      </c>
      <c r="U47" s="7"/>
      <c r="V47" s="7"/>
      <c r="W47" s="8"/>
      <c r="X47" s="9"/>
      <c r="Y47" s="9"/>
      <c r="Z47" s="9"/>
      <c r="AA47" s="10"/>
      <c r="AB47" s="11"/>
      <c r="AC47"/>
      <c r="AD47"/>
      <c r="AE47"/>
      <c r="AF47"/>
      <c r="AG47"/>
    </row>
    <row r="48" spans="1:33" x14ac:dyDescent="0.2">
      <c r="A48" s="1" t="s">
        <v>176</v>
      </c>
      <c r="B48" s="5" t="s">
        <v>21</v>
      </c>
      <c r="C48" s="2">
        <v>3.333E-3</v>
      </c>
      <c r="D48" s="3">
        <v>1.0621659999999999</v>
      </c>
      <c r="E48" s="11" t="s">
        <v>27</v>
      </c>
      <c r="F48" s="2">
        <v>0.1875</v>
      </c>
      <c r="G48" s="2">
        <v>0</v>
      </c>
      <c r="H48" s="11"/>
      <c r="I48" s="2"/>
      <c r="J48" s="2">
        <v>0</v>
      </c>
      <c r="K48" s="12"/>
      <c r="M48" s="3"/>
      <c r="N48" s="2">
        <v>0</v>
      </c>
      <c r="O48" s="2">
        <v>0</v>
      </c>
      <c r="P48" s="6">
        <v>0</v>
      </c>
      <c r="Q48" s="6">
        <v>0</v>
      </c>
      <c r="R48" s="2">
        <v>6.2500000000000001E-4</v>
      </c>
      <c r="T48" s="12">
        <v>2</v>
      </c>
      <c r="U48" s="7"/>
      <c r="V48" s="7"/>
      <c r="W48" s="8"/>
      <c r="X48" s="9"/>
      <c r="Y48" s="9"/>
      <c r="Z48" s="9"/>
      <c r="AA48" s="10"/>
      <c r="AB48" s="11"/>
      <c r="AC48"/>
      <c r="AD48"/>
      <c r="AE48"/>
      <c r="AF48"/>
      <c r="AG48"/>
    </row>
    <row r="49" spans="1:33" ht="38.25" x14ac:dyDescent="0.2">
      <c r="A49" s="1" t="s">
        <v>177</v>
      </c>
      <c r="B49" s="5" t="s">
        <v>21</v>
      </c>
      <c r="C49" s="2">
        <v>3.333E-3</v>
      </c>
      <c r="D49" s="3">
        <v>1.0621659999999999</v>
      </c>
      <c r="E49" s="11" t="s">
        <v>28</v>
      </c>
      <c r="F49" s="2">
        <v>0.1875</v>
      </c>
      <c r="G49" s="2">
        <v>0</v>
      </c>
      <c r="H49" s="11"/>
      <c r="I49" s="2"/>
      <c r="J49" s="2">
        <v>0</v>
      </c>
      <c r="K49" s="12"/>
      <c r="M49" s="3"/>
      <c r="N49" s="2">
        <v>0</v>
      </c>
      <c r="O49" s="2">
        <v>0</v>
      </c>
      <c r="P49" s="6">
        <v>0</v>
      </c>
      <c r="Q49" s="6">
        <v>0</v>
      </c>
      <c r="R49" s="2">
        <v>6.2500000000000001E-4</v>
      </c>
      <c r="T49" s="12">
        <v>2</v>
      </c>
      <c r="U49" s="7"/>
      <c r="V49" s="7"/>
      <c r="W49" s="8"/>
      <c r="X49" s="9"/>
      <c r="Y49" s="9"/>
      <c r="Z49" s="9"/>
      <c r="AA49" s="10"/>
      <c r="AB49" s="11"/>
      <c r="AC49"/>
      <c r="AD49"/>
      <c r="AE49"/>
      <c r="AF49"/>
      <c r="AG49"/>
    </row>
    <row r="50" spans="1:33" x14ac:dyDescent="0.2">
      <c r="A50" s="1" t="s">
        <v>179</v>
      </c>
      <c r="B50" s="5" t="s">
        <v>21</v>
      </c>
      <c r="C50" s="2">
        <v>3.333E-3</v>
      </c>
      <c r="D50" s="3">
        <v>1.0621659999999999</v>
      </c>
      <c r="E50" s="11" t="s">
        <v>27</v>
      </c>
      <c r="F50" s="2">
        <v>0.1875</v>
      </c>
      <c r="G50" s="2">
        <v>0</v>
      </c>
      <c r="H50" s="11"/>
      <c r="I50" s="2"/>
      <c r="J50" s="2">
        <v>0</v>
      </c>
      <c r="K50" s="12"/>
      <c r="M50" s="3"/>
      <c r="N50" s="2">
        <v>0</v>
      </c>
      <c r="O50" s="2">
        <v>0</v>
      </c>
      <c r="P50" s="6">
        <v>0</v>
      </c>
      <c r="Q50" s="6">
        <v>0</v>
      </c>
      <c r="R50" s="2">
        <v>6.2500000000000001E-4</v>
      </c>
      <c r="T50" s="12">
        <v>2</v>
      </c>
      <c r="U50" s="7"/>
      <c r="V50" s="7"/>
      <c r="W50" s="8"/>
      <c r="X50" s="9"/>
      <c r="Y50" s="9"/>
      <c r="Z50" s="9"/>
      <c r="AA50" s="10"/>
      <c r="AB50" s="11"/>
      <c r="AC50"/>
      <c r="AD50"/>
      <c r="AE50"/>
      <c r="AF50"/>
      <c r="AG50"/>
    </row>
    <row r="51" spans="1:33" x14ac:dyDescent="0.2">
      <c r="A51" s="1" t="s">
        <v>185</v>
      </c>
      <c r="B51" s="5" t="s">
        <v>21</v>
      </c>
      <c r="C51" s="2">
        <v>2.8570000000000002E-3</v>
      </c>
      <c r="D51" s="3">
        <v>0.91042800000000002</v>
      </c>
      <c r="E51" s="11" t="s">
        <v>100</v>
      </c>
      <c r="F51" s="2">
        <v>0.1875</v>
      </c>
      <c r="G51" s="2">
        <v>0</v>
      </c>
      <c r="H51" s="11"/>
      <c r="I51" s="2"/>
      <c r="J51" s="2">
        <v>0</v>
      </c>
      <c r="K51" s="12"/>
      <c r="M51" s="3"/>
      <c r="N51" s="2">
        <v>0</v>
      </c>
      <c r="O51" s="2">
        <v>0</v>
      </c>
      <c r="P51" s="6">
        <v>0</v>
      </c>
      <c r="Q51" s="6">
        <v>0</v>
      </c>
      <c r="R51" s="2">
        <v>5.3600000000000002E-4</v>
      </c>
      <c r="T51" s="12">
        <v>2</v>
      </c>
      <c r="U51" s="7"/>
      <c r="V51" s="7"/>
      <c r="W51" s="8"/>
      <c r="X51" s="9"/>
      <c r="Y51" s="9"/>
      <c r="Z51" s="9"/>
      <c r="AA51" s="10"/>
      <c r="AB51" s="11"/>
      <c r="AC51"/>
      <c r="AD51"/>
      <c r="AE51"/>
      <c r="AF51"/>
      <c r="AG51"/>
    </row>
    <row r="52" spans="1:33" x14ac:dyDescent="0.2">
      <c r="A52" s="1" t="s">
        <v>186</v>
      </c>
      <c r="B52" s="5" t="s">
        <v>21</v>
      </c>
      <c r="C52" s="2">
        <v>1.6667000000000001E-2</v>
      </c>
      <c r="D52" s="3">
        <v>5.3108339999999998</v>
      </c>
      <c r="E52" s="11" t="s">
        <v>74</v>
      </c>
      <c r="F52" s="2">
        <v>0.15</v>
      </c>
      <c r="G52" s="2">
        <v>0</v>
      </c>
      <c r="H52" s="11"/>
      <c r="I52" s="2"/>
      <c r="J52" s="2">
        <v>0</v>
      </c>
      <c r="K52" s="12"/>
      <c r="M52" s="3"/>
      <c r="N52" s="2">
        <v>0</v>
      </c>
      <c r="O52" s="2">
        <v>0</v>
      </c>
      <c r="P52" s="6">
        <v>0</v>
      </c>
      <c r="Q52" s="6">
        <v>0</v>
      </c>
      <c r="R52" s="2">
        <v>2.5000000000000001E-3</v>
      </c>
      <c r="T52" s="12">
        <v>2</v>
      </c>
      <c r="U52" s="7"/>
      <c r="V52" s="7"/>
      <c r="W52" s="8"/>
      <c r="X52" s="9"/>
      <c r="Y52" s="9"/>
      <c r="Z52" s="9"/>
      <c r="AA52" s="10"/>
      <c r="AB52" s="11"/>
      <c r="AC52"/>
      <c r="AD52"/>
      <c r="AE52"/>
      <c r="AF52"/>
      <c r="AG52"/>
    </row>
    <row r="53" spans="1:33" x14ac:dyDescent="0.2">
      <c r="A53" s="1" t="s">
        <v>188</v>
      </c>
      <c r="B53" s="5" t="s">
        <v>21</v>
      </c>
      <c r="C53" s="2">
        <v>3.333E-3</v>
      </c>
      <c r="D53" s="3">
        <v>1.0621659999999999</v>
      </c>
      <c r="E53" s="11" t="s">
        <v>27</v>
      </c>
      <c r="F53" s="2">
        <v>0.1875</v>
      </c>
      <c r="G53" s="2">
        <v>0</v>
      </c>
      <c r="H53" s="11"/>
      <c r="I53" s="2"/>
      <c r="J53" s="2">
        <v>0</v>
      </c>
      <c r="K53" s="12"/>
      <c r="M53" s="3"/>
      <c r="N53" s="2">
        <v>0</v>
      </c>
      <c r="O53" s="2">
        <v>0</v>
      </c>
      <c r="P53" s="6">
        <v>0</v>
      </c>
      <c r="Q53" s="6">
        <v>0</v>
      </c>
      <c r="R53" s="2">
        <v>6.2500000000000001E-4</v>
      </c>
      <c r="T53" s="12">
        <v>2</v>
      </c>
      <c r="U53" s="7"/>
      <c r="V53" s="7"/>
      <c r="W53" s="8"/>
      <c r="X53" s="9"/>
      <c r="Y53" s="9"/>
      <c r="Z53" s="9"/>
      <c r="AA53" s="10"/>
      <c r="AB53" s="11"/>
      <c r="AC53"/>
      <c r="AD53"/>
      <c r="AE53"/>
      <c r="AF53"/>
      <c r="AG53"/>
    </row>
    <row r="54" spans="1:33" x14ac:dyDescent="0.2">
      <c r="A54" s="1" t="s">
        <v>189</v>
      </c>
      <c r="B54" s="5" t="s">
        <v>21</v>
      </c>
      <c r="C54" s="2">
        <v>1.6667000000000001E-2</v>
      </c>
      <c r="D54" s="3">
        <v>5.3108339999999998</v>
      </c>
      <c r="E54" s="11" t="s">
        <v>174</v>
      </c>
      <c r="F54" s="2">
        <v>0.15</v>
      </c>
      <c r="G54" s="2">
        <v>0</v>
      </c>
      <c r="H54" s="11"/>
      <c r="I54" s="2"/>
      <c r="J54" s="2">
        <v>0</v>
      </c>
      <c r="K54" s="12"/>
      <c r="M54" s="3"/>
      <c r="N54" s="2">
        <v>0</v>
      </c>
      <c r="O54" s="2">
        <v>0</v>
      </c>
      <c r="P54" s="6">
        <v>0</v>
      </c>
      <c r="Q54" s="6">
        <v>0</v>
      </c>
      <c r="R54" s="2">
        <v>2.5000000000000001E-3</v>
      </c>
      <c r="T54" s="12">
        <v>2</v>
      </c>
      <c r="U54" s="7"/>
      <c r="V54" s="7"/>
      <c r="W54" s="8"/>
      <c r="X54" s="9"/>
      <c r="Y54" s="9"/>
      <c r="Z54" s="9"/>
      <c r="AA54" s="10"/>
      <c r="AB54" s="11"/>
      <c r="AC54"/>
      <c r="AD54"/>
      <c r="AE54"/>
      <c r="AF54"/>
      <c r="AG54"/>
    </row>
    <row r="55" spans="1:33" x14ac:dyDescent="0.2">
      <c r="A55" s="1" t="s">
        <v>190</v>
      </c>
      <c r="B55" s="5" t="s">
        <v>21</v>
      </c>
      <c r="C55" s="2">
        <v>3.333E-3</v>
      </c>
      <c r="D55" s="3">
        <v>1.0621659999999999</v>
      </c>
      <c r="E55" s="11" t="s">
        <v>27</v>
      </c>
      <c r="F55" s="2">
        <v>0.1875</v>
      </c>
      <c r="G55" s="2">
        <v>0</v>
      </c>
      <c r="H55" s="11"/>
      <c r="I55" s="2"/>
      <c r="J55" s="2">
        <v>0</v>
      </c>
      <c r="K55" s="12"/>
      <c r="M55" s="3"/>
      <c r="N55" s="2">
        <v>0</v>
      </c>
      <c r="O55" s="2">
        <v>0</v>
      </c>
      <c r="P55" s="6">
        <v>0</v>
      </c>
      <c r="Q55" s="6">
        <v>0</v>
      </c>
      <c r="R55" s="2">
        <v>6.2500000000000001E-4</v>
      </c>
      <c r="T55" s="12">
        <v>2</v>
      </c>
      <c r="U55" s="7"/>
      <c r="V55" s="7"/>
      <c r="W55" s="8"/>
      <c r="X55" s="9"/>
      <c r="Y55" s="9"/>
      <c r="Z55" s="9"/>
      <c r="AA55" s="10"/>
      <c r="AB55" s="11"/>
      <c r="AC55"/>
      <c r="AD55"/>
      <c r="AE55"/>
      <c r="AF55"/>
      <c r="AG55"/>
    </row>
    <row r="56" spans="1:33" x14ac:dyDescent="0.2">
      <c r="A56" s="1" t="s">
        <v>191</v>
      </c>
      <c r="B56" s="5" t="s">
        <v>21</v>
      </c>
      <c r="C56" s="2">
        <v>0.02</v>
      </c>
      <c r="D56" s="3">
        <v>6.3730000000000002</v>
      </c>
      <c r="E56" s="11" t="s">
        <v>192</v>
      </c>
      <c r="F56" s="2">
        <v>0.1875</v>
      </c>
      <c r="G56" s="2">
        <v>0</v>
      </c>
      <c r="H56" s="11"/>
      <c r="I56" s="2"/>
      <c r="J56" s="2">
        <v>0</v>
      </c>
      <c r="K56" s="12"/>
      <c r="M56" s="3"/>
      <c r="N56" s="2">
        <v>0</v>
      </c>
      <c r="O56" s="2">
        <v>0</v>
      </c>
      <c r="P56" s="6">
        <v>0</v>
      </c>
      <c r="Q56" s="6">
        <v>0</v>
      </c>
      <c r="R56" s="2">
        <v>3.7499999999999999E-3</v>
      </c>
      <c r="T56" s="12">
        <v>2</v>
      </c>
      <c r="U56" s="7"/>
      <c r="V56" s="7"/>
      <c r="W56" s="8"/>
      <c r="X56" s="9"/>
      <c r="Y56" s="9"/>
      <c r="Z56" s="9"/>
      <c r="AA56" s="10"/>
      <c r="AB56" s="11"/>
      <c r="AC56"/>
      <c r="AD56"/>
      <c r="AE56"/>
      <c r="AF56"/>
      <c r="AG56"/>
    </row>
    <row r="57" spans="1:33" x14ac:dyDescent="0.2">
      <c r="A57" s="1" t="s">
        <v>193</v>
      </c>
      <c r="B57" s="5" t="s">
        <v>21</v>
      </c>
      <c r="C57" s="2">
        <v>2.8570000000000002E-3</v>
      </c>
      <c r="D57" s="3">
        <v>0.91042800000000002</v>
      </c>
      <c r="E57" s="11" t="s">
        <v>100</v>
      </c>
      <c r="F57" s="2">
        <v>0.1875</v>
      </c>
      <c r="G57" s="2">
        <v>0</v>
      </c>
      <c r="H57" s="11"/>
      <c r="I57" s="2"/>
      <c r="J57" s="2">
        <v>0</v>
      </c>
      <c r="K57" s="12"/>
      <c r="M57" s="3"/>
      <c r="N57" s="2">
        <v>0</v>
      </c>
      <c r="O57" s="2">
        <v>0</v>
      </c>
      <c r="P57" s="6">
        <v>0</v>
      </c>
      <c r="Q57" s="6">
        <v>0</v>
      </c>
      <c r="R57" s="2">
        <v>5.3600000000000002E-4</v>
      </c>
      <c r="T57" s="12">
        <v>2</v>
      </c>
      <c r="U57" s="7"/>
      <c r="V57" s="7"/>
      <c r="W57" s="8"/>
      <c r="X57" s="9"/>
      <c r="Y57" s="9"/>
      <c r="Z57" s="9"/>
      <c r="AA57" s="10"/>
      <c r="AB57" s="11"/>
      <c r="AC57"/>
      <c r="AD57"/>
      <c r="AE57"/>
      <c r="AF57"/>
      <c r="AG57"/>
    </row>
    <row r="58" spans="1:33" x14ac:dyDescent="0.2">
      <c r="A58" s="1" t="s">
        <v>87</v>
      </c>
      <c r="B58" s="5" t="s">
        <v>21</v>
      </c>
      <c r="C58" s="2">
        <v>4.17E-4</v>
      </c>
      <c r="D58" s="3">
        <v>0.132772</v>
      </c>
      <c r="E58" s="11" t="s">
        <v>168</v>
      </c>
      <c r="F58" s="2">
        <v>0.1875</v>
      </c>
      <c r="G58" s="2">
        <v>0</v>
      </c>
      <c r="H58" s="11"/>
      <c r="I58" s="2"/>
      <c r="J58" s="2">
        <v>0</v>
      </c>
      <c r="K58" s="12"/>
      <c r="M58" s="3"/>
      <c r="N58" s="2">
        <v>0</v>
      </c>
      <c r="O58" s="2">
        <v>0</v>
      </c>
      <c r="P58" s="6">
        <v>0</v>
      </c>
      <c r="Q58" s="6">
        <v>0</v>
      </c>
      <c r="R58" s="2">
        <v>7.7999999999999999E-5</v>
      </c>
      <c r="T58" s="12">
        <v>2</v>
      </c>
      <c r="U58" s="7"/>
      <c r="V58" s="7"/>
      <c r="W58" s="8"/>
      <c r="X58" s="9"/>
      <c r="Y58" s="9"/>
      <c r="Z58" s="9"/>
      <c r="AA58" s="10"/>
      <c r="AB58" s="11"/>
      <c r="AC58"/>
      <c r="AD58"/>
      <c r="AE58"/>
      <c r="AF58"/>
      <c r="AG58"/>
    </row>
    <row r="59" spans="1:33" x14ac:dyDescent="0.2">
      <c r="A59" s="1" t="s">
        <v>87</v>
      </c>
      <c r="B59" s="5" t="s">
        <v>21</v>
      </c>
      <c r="C59" s="2">
        <v>2.7799999999999998E-4</v>
      </c>
      <c r="D59" s="3">
        <v>8.8514999999999996E-2</v>
      </c>
      <c r="E59" s="11" t="s">
        <v>168</v>
      </c>
      <c r="F59" s="2">
        <v>0.1875</v>
      </c>
      <c r="G59" s="2">
        <v>0</v>
      </c>
      <c r="H59" s="11"/>
      <c r="I59" s="2"/>
      <c r="J59" s="2">
        <v>0</v>
      </c>
      <c r="K59" s="12"/>
      <c r="M59" s="3"/>
      <c r="N59" s="2">
        <v>0</v>
      </c>
      <c r="O59" s="2">
        <v>0</v>
      </c>
      <c r="P59" s="6">
        <v>0</v>
      </c>
      <c r="Q59" s="6">
        <v>0</v>
      </c>
      <c r="R59" s="2">
        <v>5.1999999999999997E-5</v>
      </c>
      <c r="T59" s="12">
        <v>2</v>
      </c>
      <c r="U59" s="7"/>
      <c r="V59" s="7"/>
      <c r="W59" s="8"/>
      <c r="X59" s="9"/>
      <c r="Y59" s="9"/>
      <c r="Z59" s="9"/>
      <c r="AA59" s="10"/>
      <c r="AB59" s="11"/>
      <c r="AC59"/>
      <c r="AD59"/>
      <c r="AE59"/>
      <c r="AF59"/>
      <c r="AG59"/>
    </row>
    <row r="60" spans="1:33" x14ac:dyDescent="0.2">
      <c r="A60" s="1" t="s">
        <v>87</v>
      </c>
      <c r="B60" s="5" t="s">
        <v>21</v>
      </c>
      <c r="C60" s="2">
        <v>3.1000000000000001E-5</v>
      </c>
      <c r="D60" s="3">
        <v>9.9579999999999998E-3</v>
      </c>
      <c r="E60" s="11" t="s">
        <v>168</v>
      </c>
      <c r="F60" s="2">
        <v>0.1875</v>
      </c>
      <c r="G60" s="2">
        <v>0</v>
      </c>
      <c r="H60" s="11"/>
      <c r="I60" s="2"/>
      <c r="J60" s="2">
        <v>0</v>
      </c>
      <c r="K60" s="12"/>
      <c r="M60" s="3"/>
      <c r="N60" s="2">
        <v>0</v>
      </c>
      <c r="O60" s="2">
        <v>0</v>
      </c>
      <c r="P60" s="6">
        <v>0</v>
      </c>
      <c r="Q60" s="6">
        <v>0</v>
      </c>
      <c r="R60" s="2">
        <v>6.0000000000000002E-6</v>
      </c>
      <c r="T60" s="12">
        <v>2</v>
      </c>
      <c r="U60" s="7"/>
      <c r="V60" s="7"/>
      <c r="W60" s="8"/>
      <c r="X60" s="9"/>
      <c r="Y60" s="9"/>
      <c r="Z60" s="9"/>
      <c r="AA60" s="10"/>
      <c r="AB60" s="11"/>
      <c r="AC60"/>
      <c r="AD60"/>
      <c r="AE60"/>
      <c r="AF60"/>
      <c r="AG60"/>
    </row>
    <row r="61" spans="1:33" x14ac:dyDescent="0.2">
      <c r="A61" s="1" t="s">
        <v>87</v>
      </c>
      <c r="B61" s="5" t="s">
        <v>21</v>
      </c>
      <c r="C61" s="2">
        <v>2.7799999999999998E-4</v>
      </c>
      <c r="D61" s="3">
        <v>8.8514999999999996E-2</v>
      </c>
      <c r="E61" s="11" t="s">
        <v>168</v>
      </c>
      <c r="F61" s="2">
        <v>0.1875</v>
      </c>
      <c r="G61" s="2">
        <v>0</v>
      </c>
      <c r="H61" s="11"/>
      <c r="I61" s="2"/>
      <c r="J61" s="2">
        <v>0</v>
      </c>
      <c r="K61" s="12"/>
      <c r="M61" s="3"/>
      <c r="N61" s="2">
        <v>0</v>
      </c>
      <c r="O61" s="2">
        <v>0</v>
      </c>
      <c r="P61" s="6">
        <v>0</v>
      </c>
      <c r="Q61" s="6">
        <v>0</v>
      </c>
      <c r="R61" s="2">
        <v>5.1999999999999997E-5</v>
      </c>
      <c r="T61" s="12">
        <v>2</v>
      </c>
      <c r="U61" s="7"/>
      <c r="V61" s="7"/>
      <c r="W61" s="8"/>
      <c r="X61" s="9"/>
      <c r="Y61" s="9"/>
      <c r="Z61" s="9"/>
      <c r="AA61" s="10"/>
      <c r="AB61" s="11"/>
      <c r="AC61"/>
      <c r="AD61"/>
      <c r="AE61"/>
      <c r="AF61"/>
      <c r="AG61"/>
    </row>
    <row r="62" spans="1:33" x14ac:dyDescent="0.2">
      <c r="A62" s="1" t="s">
        <v>87</v>
      </c>
      <c r="B62" s="5" t="s">
        <v>21</v>
      </c>
      <c r="C62" s="2">
        <v>9.2999999999999997E-5</v>
      </c>
      <c r="D62" s="3">
        <v>2.9503999999999999E-2</v>
      </c>
      <c r="E62" s="11" t="s">
        <v>168</v>
      </c>
      <c r="F62" s="2">
        <v>0.1875</v>
      </c>
      <c r="G62" s="2">
        <v>0</v>
      </c>
      <c r="H62" s="11"/>
      <c r="I62" s="2"/>
      <c r="J62" s="2">
        <v>0</v>
      </c>
      <c r="K62" s="12"/>
      <c r="M62" s="3"/>
      <c r="N62" s="2">
        <v>0</v>
      </c>
      <c r="O62" s="2">
        <v>0</v>
      </c>
      <c r="P62" s="6">
        <v>0</v>
      </c>
      <c r="Q62" s="6">
        <v>0</v>
      </c>
      <c r="R62" s="2">
        <v>1.7E-5</v>
      </c>
      <c r="T62" s="12">
        <v>2</v>
      </c>
      <c r="U62" s="7"/>
      <c r="V62" s="7"/>
      <c r="W62" s="8"/>
      <c r="X62" s="9"/>
      <c r="Y62" s="9"/>
      <c r="Z62" s="9"/>
      <c r="AA62" s="10"/>
      <c r="AB62" s="11"/>
      <c r="AC62"/>
      <c r="AD62"/>
      <c r="AE62"/>
      <c r="AF62"/>
      <c r="AG62"/>
    </row>
    <row r="63" spans="1:33" x14ac:dyDescent="0.2">
      <c r="A63" s="1" t="s">
        <v>87</v>
      </c>
      <c r="B63" s="5" t="s">
        <v>21</v>
      </c>
      <c r="C63" s="2">
        <v>4.17E-4</v>
      </c>
      <c r="D63" s="3">
        <v>0.132772</v>
      </c>
      <c r="E63" s="11" t="s">
        <v>168</v>
      </c>
      <c r="F63" s="2">
        <v>0.1875</v>
      </c>
      <c r="G63" s="2">
        <v>0</v>
      </c>
      <c r="H63" s="11"/>
      <c r="I63" s="2"/>
      <c r="J63" s="2">
        <v>0</v>
      </c>
      <c r="K63" s="12"/>
      <c r="M63" s="3"/>
      <c r="N63" s="2">
        <v>0</v>
      </c>
      <c r="O63" s="2">
        <v>0</v>
      </c>
      <c r="P63" s="6">
        <v>0</v>
      </c>
      <c r="Q63" s="6">
        <v>0</v>
      </c>
      <c r="R63" s="2">
        <v>7.7999999999999999E-5</v>
      </c>
      <c r="T63" s="12">
        <v>2</v>
      </c>
      <c r="U63" s="7"/>
      <c r="V63" s="7"/>
      <c r="W63" s="8"/>
      <c r="X63" s="9"/>
      <c r="Y63" s="9"/>
      <c r="Z63" s="9"/>
      <c r="AA63" s="10"/>
      <c r="AB63" s="11"/>
      <c r="AC63"/>
      <c r="AD63"/>
      <c r="AE63"/>
      <c r="AF63"/>
      <c r="AG63"/>
    </row>
    <row r="64" spans="1:33" x14ac:dyDescent="0.2">
      <c r="A64" s="1" t="s">
        <v>87</v>
      </c>
      <c r="B64" s="5" t="s">
        <v>21</v>
      </c>
      <c r="C64" s="2">
        <v>9.2999999999999997E-5</v>
      </c>
      <c r="D64" s="3">
        <v>2.9503999999999999E-2</v>
      </c>
      <c r="E64" s="11" t="s">
        <v>168</v>
      </c>
      <c r="F64" s="2">
        <v>0.1875</v>
      </c>
      <c r="G64" s="2">
        <v>0</v>
      </c>
      <c r="H64" s="11"/>
      <c r="I64" s="2"/>
      <c r="J64" s="2">
        <v>0</v>
      </c>
      <c r="K64" s="12"/>
      <c r="M64" s="3"/>
      <c r="N64" s="2">
        <v>0</v>
      </c>
      <c r="O64" s="2">
        <v>0</v>
      </c>
      <c r="P64" s="6">
        <v>0</v>
      </c>
      <c r="Q64" s="6">
        <v>0</v>
      </c>
      <c r="R64" s="2">
        <v>1.7E-5</v>
      </c>
      <c r="T64" s="12">
        <v>2</v>
      </c>
      <c r="U64" s="7"/>
      <c r="V64" s="7"/>
      <c r="W64" s="8"/>
      <c r="X64" s="9"/>
      <c r="Y64" s="9"/>
      <c r="Z64" s="9"/>
      <c r="AA64" s="10"/>
      <c r="AB64" s="11"/>
      <c r="AC64"/>
      <c r="AD64"/>
      <c r="AE64"/>
      <c r="AF64"/>
      <c r="AG64"/>
    </row>
    <row r="65" spans="1:33" x14ac:dyDescent="0.2">
      <c r="A65" s="1" t="s">
        <v>87</v>
      </c>
      <c r="B65" s="5" t="s">
        <v>21</v>
      </c>
      <c r="C65" s="2">
        <v>9.2999999999999997E-5</v>
      </c>
      <c r="D65" s="3">
        <v>2.9503999999999999E-2</v>
      </c>
      <c r="E65" s="11" t="s">
        <v>168</v>
      </c>
      <c r="F65" s="2">
        <v>0.1875</v>
      </c>
      <c r="G65" s="2">
        <v>0</v>
      </c>
      <c r="H65" s="11"/>
      <c r="I65" s="2"/>
      <c r="J65" s="2">
        <v>0</v>
      </c>
      <c r="K65" s="12"/>
      <c r="M65" s="3"/>
      <c r="N65" s="2">
        <v>0</v>
      </c>
      <c r="O65" s="2">
        <v>0</v>
      </c>
      <c r="P65" s="6">
        <v>0</v>
      </c>
      <c r="Q65" s="6">
        <v>0</v>
      </c>
      <c r="R65" s="2">
        <v>1.7E-5</v>
      </c>
      <c r="T65" s="12">
        <v>2</v>
      </c>
      <c r="U65" s="7"/>
      <c r="V65" s="7"/>
      <c r="W65" s="8"/>
      <c r="X65" s="9"/>
      <c r="Y65" s="9"/>
      <c r="Z65" s="9"/>
      <c r="AA65" s="10"/>
      <c r="AB65" s="11"/>
      <c r="AC65"/>
      <c r="AD65"/>
      <c r="AE65"/>
      <c r="AF65"/>
      <c r="AG65"/>
    </row>
    <row r="66" spans="1:33" x14ac:dyDescent="0.2">
      <c r="A66" s="1" t="s">
        <v>87</v>
      </c>
      <c r="B66" s="5" t="s">
        <v>21</v>
      </c>
      <c r="C66" s="2">
        <v>4.17E-4</v>
      </c>
      <c r="D66" s="3">
        <v>0.132771</v>
      </c>
      <c r="E66" s="11" t="s">
        <v>168</v>
      </c>
      <c r="F66" s="2">
        <v>0.1875</v>
      </c>
      <c r="G66" s="2">
        <v>0</v>
      </c>
      <c r="H66" s="11"/>
      <c r="I66" s="2"/>
      <c r="J66" s="2">
        <v>0</v>
      </c>
      <c r="K66" s="12"/>
      <c r="M66" s="3"/>
      <c r="N66" s="2">
        <v>0</v>
      </c>
      <c r="O66" s="2">
        <v>0</v>
      </c>
      <c r="P66" s="6">
        <v>0</v>
      </c>
      <c r="Q66" s="6">
        <v>0</v>
      </c>
      <c r="R66" s="2">
        <v>7.7999999999999999E-5</v>
      </c>
      <c r="T66" s="12">
        <v>2</v>
      </c>
      <c r="U66" s="7"/>
      <c r="V66" s="7"/>
      <c r="W66" s="8"/>
      <c r="X66" s="9"/>
      <c r="Y66" s="9"/>
      <c r="Z66" s="9"/>
      <c r="AA66" s="10"/>
      <c r="AB66" s="11"/>
      <c r="AC66"/>
      <c r="AD66"/>
      <c r="AE66"/>
      <c r="AF66"/>
      <c r="AG66"/>
    </row>
    <row r="67" spans="1:33" x14ac:dyDescent="0.2">
      <c r="A67" s="1" t="s">
        <v>87</v>
      </c>
      <c r="B67" s="5" t="s">
        <v>21</v>
      </c>
      <c r="C67" s="2">
        <v>1.25E-3</v>
      </c>
      <c r="D67" s="3">
        <v>0.39831299999999997</v>
      </c>
      <c r="E67" s="11" t="s">
        <v>168</v>
      </c>
      <c r="F67" s="2">
        <v>0.1875</v>
      </c>
      <c r="G67" s="2">
        <v>0</v>
      </c>
      <c r="H67" s="11"/>
      <c r="I67" s="2"/>
      <c r="J67" s="2">
        <v>0</v>
      </c>
      <c r="K67" s="12"/>
      <c r="M67" s="3"/>
      <c r="N67" s="2">
        <v>0</v>
      </c>
      <c r="O67" s="2">
        <v>0</v>
      </c>
      <c r="P67" s="6">
        <v>0</v>
      </c>
      <c r="Q67" s="6">
        <v>0</v>
      </c>
      <c r="R67" s="2">
        <v>2.34E-4</v>
      </c>
      <c r="T67" s="12">
        <v>2</v>
      </c>
      <c r="U67" s="7"/>
      <c r="V67" s="7"/>
      <c r="W67" s="8"/>
      <c r="X67" s="9"/>
      <c r="Y67" s="9"/>
      <c r="Z67" s="9"/>
      <c r="AA67" s="10"/>
      <c r="AB67" s="11"/>
      <c r="AC67"/>
      <c r="AD67"/>
      <c r="AE67"/>
      <c r="AF67"/>
      <c r="AG67"/>
    </row>
    <row r="68" spans="1:33" x14ac:dyDescent="0.2">
      <c r="A68" s="1" t="s">
        <v>194</v>
      </c>
      <c r="B68" s="5" t="s">
        <v>21</v>
      </c>
      <c r="C68" s="2">
        <v>7.4999999999999997E-2</v>
      </c>
      <c r="D68" s="3">
        <v>23.89875</v>
      </c>
      <c r="E68" s="11" t="s">
        <v>62</v>
      </c>
      <c r="F68" s="2">
        <v>0.16666666999999999</v>
      </c>
      <c r="G68" s="2">
        <v>0</v>
      </c>
      <c r="H68" s="11"/>
      <c r="I68" s="2"/>
      <c r="J68" s="2">
        <v>0</v>
      </c>
      <c r="K68" s="12"/>
      <c r="M68" s="3"/>
      <c r="N68" s="2">
        <v>0</v>
      </c>
      <c r="O68" s="2">
        <v>0</v>
      </c>
      <c r="P68" s="6">
        <v>0</v>
      </c>
      <c r="Q68" s="6">
        <v>0</v>
      </c>
      <c r="R68" s="2">
        <v>1.2500000000000001E-2</v>
      </c>
      <c r="T68" s="12">
        <v>2</v>
      </c>
      <c r="U68" s="7"/>
      <c r="V68" s="7"/>
      <c r="W68" s="8"/>
      <c r="X68" s="9"/>
      <c r="Y68" s="9"/>
      <c r="Z68" s="9"/>
      <c r="AA68" s="10"/>
      <c r="AB68" s="11"/>
      <c r="AC68"/>
      <c r="AD68"/>
      <c r="AE68"/>
      <c r="AF68"/>
      <c r="AG68"/>
    </row>
    <row r="69" spans="1:33" x14ac:dyDescent="0.2">
      <c r="A69" s="1" t="s">
        <v>102</v>
      </c>
      <c r="B69" s="5" t="s">
        <v>21</v>
      </c>
      <c r="C69" s="2">
        <v>4.17E-4</v>
      </c>
      <c r="D69" s="3">
        <v>0.132772</v>
      </c>
      <c r="E69" s="11" t="s">
        <v>168</v>
      </c>
      <c r="F69" s="2">
        <v>0.1875</v>
      </c>
      <c r="G69" s="2">
        <v>0</v>
      </c>
      <c r="H69" s="11"/>
      <c r="I69" s="2"/>
      <c r="J69" s="2">
        <v>0</v>
      </c>
      <c r="K69" s="12"/>
      <c r="M69" s="3"/>
      <c r="N69" s="2">
        <v>0</v>
      </c>
      <c r="O69" s="2">
        <v>0</v>
      </c>
      <c r="P69" s="6">
        <v>0</v>
      </c>
      <c r="Q69" s="6">
        <v>0</v>
      </c>
      <c r="R69" s="2">
        <v>7.7999999999999999E-5</v>
      </c>
      <c r="T69" s="12">
        <v>2</v>
      </c>
      <c r="U69" s="7"/>
      <c r="V69" s="7"/>
      <c r="W69" s="8"/>
      <c r="X69" s="9"/>
      <c r="Y69" s="9"/>
      <c r="Z69" s="9"/>
      <c r="AA69" s="10"/>
      <c r="AB69" s="11"/>
      <c r="AC69"/>
      <c r="AD69"/>
      <c r="AE69"/>
      <c r="AF69"/>
      <c r="AG69"/>
    </row>
    <row r="70" spans="1:33" x14ac:dyDescent="0.2">
      <c r="A70" s="1" t="s">
        <v>102</v>
      </c>
      <c r="B70" s="5" t="s">
        <v>21</v>
      </c>
      <c r="C70" s="2">
        <v>2.7799999999999998E-4</v>
      </c>
      <c r="D70" s="3">
        <v>8.8514999999999996E-2</v>
      </c>
      <c r="E70" s="11" t="s">
        <v>168</v>
      </c>
      <c r="F70" s="2">
        <v>0.1875</v>
      </c>
      <c r="G70" s="2">
        <v>0</v>
      </c>
      <c r="H70" s="11"/>
      <c r="I70" s="2"/>
      <c r="J70" s="2">
        <v>0</v>
      </c>
      <c r="K70" s="12"/>
      <c r="M70" s="3"/>
      <c r="N70" s="2">
        <v>0</v>
      </c>
      <c r="O70" s="2">
        <v>0</v>
      </c>
      <c r="P70" s="6">
        <v>0</v>
      </c>
      <c r="Q70" s="6">
        <v>0</v>
      </c>
      <c r="R70" s="2">
        <v>5.1999999999999997E-5</v>
      </c>
      <c r="T70" s="12">
        <v>2</v>
      </c>
      <c r="U70" s="7"/>
      <c r="V70" s="7"/>
      <c r="W70" s="8"/>
      <c r="X70" s="9"/>
      <c r="Y70" s="9"/>
      <c r="Z70" s="9"/>
      <c r="AA70" s="10"/>
      <c r="AB70" s="11"/>
      <c r="AC70"/>
      <c r="AD70"/>
      <c r="AE70"/>
      <c r="AF70"/>
      <c r="AG70"/>
    </row>
    <row r="71" spans="1:33" x14ac:dyDescent="0.2">
      <c r="A71" s="1" t="s">
        <v>102</v>
      </c>
      <c r="B71" s="5" t="s">
        <v>21</v>
      </c>
      <c r="C71" s="2">
        <v>1.25E-3</v>
      </c>
      <c r="D71" s="3">
        <v>0.39831299999999997</v>
      </c>
      <c r="E71" s="11" t="s">
        <v>168</v>
      </c>
      <c r="F71" s="2">
        <v>0.1875</v>
      </c>
      <c r="G71" s="2">
        <v>0</v>
      </c>
      <c r="H71" s="11"/>
      <c r="I71" s="2"/>
      <c r="J71" s="2">
        <v>0</v>
      </c>
      <c r="K71" s="12"/>
      <c r="M71" s="3"/>
      <c r="N71" s="2">
        <v>0</v>
      </c>
      <c r="O71" s="2">
        <v>0</v>
      </c>
      <c r="P71" s="6">
        <v>0</v>
      </c>
      <c r="Q71" s="6">
        <v>0</v>
      </c>
      <c r="R71" s="2">
        <v>2.34E-4</v>
      </c>
      <c r="T71" s="12">
        <v>2</v>
      </c>
      <c r="U71" s="7"/>
      <c r="V71" s="7"/>
      <c r="W71" s="8"/>
      <c r="X71" s="9"/>
      <c r="Y71" s="9"/>
      <c r="Z71" s="9"/>
      <c r="AA71" s="10"/>
      <c r="AB71" s="11"/>
      <c r="AC71"/>
      <c r="AD71"/>
      <c r="AE71"/>
      <c r="AF71"/>
      <c r="AG71"/>
    </row>
    <row r="72" spans="1:33" x14ac:dyDescent="0.2">
      <c r="A72" s="1" t="s">
        <v>102</v>
      </c>
      <c r="B72" s="5" t="s">
        <v>21</v>
      </c>
      <c r="C72" s="2">
        <v>9.2999999999999997E-5</v>
      </c>
      <c r="D72" s="3">
        <v>2.9503999999999999E-2</v>
      </c>
      <c r="E72" s="11" t="s">
        <v>168</v>
      </c>
      <c r="F72" s="2">
        <v>0.1875</v>
      </c>
      <c r="G72" s="2">
        <v>0</v>
      </c>
      <c r="H72" s="11"/>
      <c r="I72" s="2"/>
      <c r="J72" s="2">
        <v>0</v>
      </c>
      <c r="K72" s="12"/>
      <c r="M72" s="3"/>
      <c r="N72" s="2">
        <v>0</v>
      </c>
      <c r="O72" s="2">
        <v>0</v>
      </c>
      <c r="P72" s="6">
        <v>0</v>
      </c>
      <c r="Q72" s="6">
        <v>0</v>
      </c>
      <c r="R72" s="2">
        <v>1.7E-5</v>
      </c>
      <c r="T72" s="12">
        <v>2</v>
      </c>
      <c r="U72" s="7"/>
      <c r="V72" s="7"/>
      <c r="W72" s="8"/>
      <c r="X72" s="9"/>
      <c r="Y72" s="9"/>
      <c r="Z72" s="9"/>
      <c r="AA72" s="10"/>
      <c r="AB72" s="11"/>
      <c r="AC72"/>
      <c r="AD72"/>
      <c r="AE72"/>
      <c r="AF72"/>
      <c r="AG72"/>
    </row>
    <row r="73" spans="1:33" x14ac:dyDescent="0.2">
      <c r="A73" s="1" t="s">
        <v>102</v>
      </c>
      <c r="B73" s="5" t="s">
        <v>21</v>
      </c>
      <c r="C73" s="2">
        <v>3.1000000000000001E-5</v>
      </c>
      <c r="D73" s="3">
        <v>9.9579999999999998E-3</v>
      </c>
      <c r="E73" s="11" t="s">
        <v>168</v>
      </c>
      <c r="F73" s="2">
        <v>0.1875</v>
      </c>
      <c r="G73" s="2">
        <v>0</v>
      </c>
      <c r="H73" s="11"/>
      <c r="I73" s="2"/>
      <c r="J73" s="2">
        <v>0</v>
      </c>
      <c r="K73" s="12"/>
      <c r="M73" s="3"/>
      <c r="N73" s="2">
        <v>0</v>
      </c>
      <c r="O73" s="2">
        <v>0</v>
      </c>
      <c r="P73" s="6">
        <v>0</v>
      </c>
      <c r="Q73" s="6">
        <v>0</v>
      </c>
      <c r="R73" s="2">
        <v>6.0000000000000002E-6</v>
      </c>
      <c r="T73" s="12">
        <v>2</v>
      </c>
      <c r="U73" s="7"/>
      <c r="V73" s="7"/>
      <c r="W73" s="8"/>
      <c r="X73" s="9"/>
      <c r="Y73" s="9"/>
      <c r="Z73" s="9"/>
      <c r="AA73" s="10"/>
      <c r="AB73" s="11"/>
      <c r="AC73"/>
      <c r="AD73"/>
      <c r="AE73"/>
      <c r="AF73"/>
      <c r="AG73"/>
    </row>
    <row r="74" spans="1:33" x14ac:dyDescent="0.2">
      <c r="A74" s="1" t="s">
        <v>102</v>
      </c>
      <c r="B74" s="5" t="s">
        <v>21</v>
      </c>
      <c r="C74" s="2">
        <v>2.7799999999999998E-4</v>
      </c>
      <c r="D74" s="3">
        <v>8.8514999999999996E-2</v>
      </c>
      <c r="E74" s="11" t="s">
        <v>168</v>
      </c>
      <c r="F74" s="2">
        <v>0.1875</v>
      </c>
      <c r="G74" s="2">
        <v>0</v>
      </c>
      <c r="H74" s="11"/>
      <c r="I74" s="2"/>
      <c r="J74" s="2">
        <v>0</v>
      </c>
      <c r="K74" s="12"/>
      <c r="M74" s="3"/>
      <c r="N74" s="2">
        <v>0</v>
      </c>
      <c r="O74" s="2">
        <v>0</v>
      </c>
      <c r="P74" s="6">
        <v>0</v>
      </c>
      <c r="Q74" s="6">
        <v>0</v>
      </c>
      <c r="R74" s="2">
        <v>5.1999999999999997E-5</v>
      </c>
      <c r="T74" s="12">
        <v>2</v>
      </c>
      <c r="U74" s="7"/>
      <c r="V74" s="7"/>
      <c r="W74" s="8"/>
      <c r="X74" s="9"/>
      <c r="Y74" s="9"/>
      <c r="Z74" s="9"/>
      <c r="AA74" s="10"/>
      <c r="AB74" s="11"/>
      <c r="AC74"/>
      <c r="AD74"/>
      <c r="AE74"/>
      <c r="AF74"/>
      <c r="AG74"/>
    </row>
    <row r="75" spans="1:33" x14ac:dyDescent="0.2">
      <c r="A75" s="1" t="s">
        <v>102</v>
      </c>
      <c r="B75" s="5" t="s">
        <v>21</v>
      </c>
      <c r="C75" s="2">
        <v>4.17E-4</v>
      </c>
      <c r="D75" s="3">
        <v>0.132771</v>
      </c>
      <c r="E75" s="11" t="s">
        <v>168</v>
      </c>
      <c r="F75" s="2">
        <v>0.1875</v>
      </c>
      <c r="G75" s="2">
        <v>0</v>
      </c>
      <c r="H75" s="11"/>
      <c r="I75" s="2"/>
      <c r="J75" s="2">
        <v>0</v>
      </c>
      <c r="K75" s="12"/>
      <c r="M75" s="3"/>
      <c r="N75" s="2">
        <v>0</v>
      </c>
      <c r="O75" s="2">
        <v>0</v>
      </c>
      <c r="P75" s="6">
        <v>0</v>
      </c>
      <c r="Q75" s="6">
        <v>0</v>
      </c>
      <c r="R75" s="2">
        <v>7.7999999999999999E-5</v>
      </c>
      <c r="T75" s="12">
        <v>2</v>
      </c>
      <c r="U75" s="7"/>
      <c r="V75" s="7"/>
      <c r="W75" s="8"/>
      <c r="X75" s="9"/>
      <c r="Y75" s="9"/>
      <c r="Z75" s="9"/>
      <c r="AA75" s="10"/>
      <c r="AB75" s="11"/>
      <c r="AC75"/>
      <c r="AD75"/>
      <c r="AE75"/>
      <c r="AF75"/>
      <c r="AG75"/>
    </row>
    <row r="76" spans="1:33" x14ac:dyDescent="0.2">
      <c r="A76" s="1" t="s">
        <v>102</v>
      </c>
      <c r="B76" s="5" t="s">
        <v>21</v>
      </c>
      <c r="C76" s="2">
        <v>4.17E-4</v>
      </c>
      <c r="D76" s="3">
        <v>0.132772</v>
      </c>
      <c r="E76" s="11" t="s">
        <v>168</v>
      </c>
      <c r="F76" s="2">
        <v>0.1875</v>
      </c>
      <c r="G76" s="2">
        <v>0</v>
      </c>
      <c r="H76" s="11"/>
      <c r="I76" s="2"/>
      <c r="J76" s="2">
        <v>0</v>
      </c>
      <c r="K76" s="12"/>
      <c r="M76" s="3"/>
      <c r="N76" s="2">
        <v>0</v>
      </c>
      <c r="O76" s="2">
        <v>0</v>
      </c>
      <c r="P76" s="6">
        <v>0</v>
      </c>
      <c r="Q76" s="6">
        <v>0</v>
      </c>
      <c r="R76" s="2">
        <v>7.7999999999999999E-5</v>
      </c>
      <c r="T76" s="12">
        <v>2</v>
      </c>
      <c r="U76" s="7"/>
      <c r="V76" s="7"/>
      <c r="W76" s="8"/>
      <c r="X76" s="9"/>
      <c r="Y76" s="9"/>
      <c r="Z76" s="9"/>
      <c r="AA76" s="10"/>
      <c r="AB76" s="11"/>
      <c r="AC76"/>
      <c r="AD76"/>
      <c r="AE76"/>
      <c r="AF76"/>
      <c r="AG76"/>
    </row>
    <row r="77" spans="1:33" x14ac:dyDescent="0.2">
      <c r="A77" s="1" t="s">
        <v>102</v>
      </c>
      <c r="B77" s="5" t="s">
        <v>21</v>
      </c>
      <c r="C77" s="2">
        <v>9.2999999999999997E-5</v>
      </c>
      <c r="D77" s="3">
        <v>2.9503999999999999E-2</v>
      </c>
      <c r="E77" s="11" t="s">
        <v>168</v>
      </c>
      <c r="F77" s="2">
        <v>0.1875</v>
      </c>
      <c r="G77" s="2">
        <v>0</v>
      </c>
      <c r="H77" s="11"/>
      <c r="I77" s="2"/>
      <c r="J77" s="2">
        <v>0</v>
      </c>
      <c r="K77" s="12"/>
      <c r="M77" s="3"/>
      <c r="N77" s="2">
        <v>0</v>
      </c>
      <c r="O77" s="2">
        <v>0</v>
      </c>
      <c r="P77" s="6">
        <v>0</v>
      </c>
      <c r="Q77" s="6">
        <v>0</v>
      </c>
      <c r="R77" s="2">
        <v>1.7E-5</v>
      </c>
      <c r="T77" s="12">
        <v>2</v>
      </c>
      <c r="U77" s="7"/>
      <c r="V77" s="7"/>
      <c r="W77" s="8"/>
      <c r="X77" s="9"/>
      <c r="Y77" s="9"/>
      <c r="Z77" s="9"/>
      <c r="AA77" s="10"/>
      <c r="AB77" s="11"/>
      <c r="AC77"/>
      <c r="AD77"/>
      <c r="AE77"/>
      <c r="AF77"/>
      <c r="AG77"/>
    </row>
    <row r="78" spans="1:33" x14ac:dyDescent="0.2">
      <c r="A78" s="1" t="s">
        <v>102</v>
      </c>
      <c r="B78" s="5" t="s">
        <v>21</v>
      </c>
      <c r="C78" s="2">
        <v>9.2999999999999997E-5</v>
      </c>
      <c r="D78" s="3">
        <v>2.9503999999999999E-2</v>
      </c>
      <c r="E78" s="11" t="s">
        <v>168</v>
      </c>
      <c r="F78" s="2">
        <v>0.1875</v>
      </c>
      <c r="G78" s="2">
        <v>0</v>
      </c>
      <c r="H78" s="11"/>
      <c r="I78" s="2"/>
      <c r="J78" s="2">
        <v>0</v>
      </c>
      <c r="K78" s="12"/>
      <c r="M78" s="3"/>
      <c r="N78" s="2">
        <v>0</v>
      </c>
      <c r="O78" s="2">
        <v>0</v>
      </c>
      <c r="P78" s="6">
        <v>0</v>
      </c>
      <c r="Q78" s="6">
        <v>0</v>
      </c>
      <c r="R78" s="2">
        <v>1.7E-5</v>
      </c>
      <c r="T78" s="12">
        <v>2</v>
      </c>
      <c r="U78" s="7"/>
      <c r="V78" s="7"/>
      <c r="W78" s="8"/>
      <c r="X78" s="9"/>
      <c r="Y78" s="9"/>
      <c r="Z78" s="9"/>
      <c r="AA78" s="10"/>
      <c r="AB78" s="11"/>
      <c r="AC78"/>
      <c r="AD78"/>
      <c r="AE78"/>
      <c r="AF78"/>
      <c r="AG78"/>
    </row>
    <row r="79" spans="1:33" x14ac:dyDescent="0.2">
      <c r="A79" s="1" t="s">
        <v>195</v>
      </c>
      <c r="B79" s="5" t="s">
        <v>21</v>
      </c>
      <c r="C79" s="2">
        <v>3.3333000000000002E-2</v>
      </c>
      <c r="D79" s="3">
        <v>10.621665999999999</v>
      </c>
      <c r="E79" s="11" t="s">
        <v>74</v>
      </c>
      <c r="F79" s="2">
        <v>0.15</v>
      </c>
      <c r="G79" s="2">
        <v>0</v>
      </c>
      <c r="H79" s="11"/>
      <c r="I79" s="2"/>
      <c r="J79" s="2">
        <v>0</v>
      </c>
      <c r="K79" s="12"/>
      <c r="M79" s="3"/>
      <c r="N79" s="2">
        <v>0</v>
      </c>
      <c r="O79" s="2">
        <v>0</v>
      </c>
      <c r="P79" s="6">
        <v>0</v>
      </c>
      <c r="Q79" s="6">
        <v>0</v>
      </c>
      <c r="R79" s="2">
        <v>5.0000000000000001E-3</v>
      </c>
      <c r="T79" s="12">
        <v>2</v>
      </c>
      <c r="U79" s="7"/>
      <c r="V79" s="7"/>
      <c r="W79" s="8"/>
      <c r="X79" s="9"/>
      <c r="Y79" s="9"/>
      <c r="Z79" s="9"/>
      <c r="AA79" s="10"/>
      <c r="AB79" s="11"/>
      <c r="AC79"/>
      <c r="AD79"/>
      <c r="AE79"/>
      <c r="AF79"/>
      <c r="AG79"/>
    </row>
    <row r="80" spans="1:33" x14ac:dyDescent="0.2">
      <c r="A80" s="1" t="s">
        <v>196</v>
      </c>
      <c r="B80" s="5" t="s">
        <v>21</v>
      </c>
      <c r="C80" s="2">
        <v>2.8570000000000002E-3</v>
      </c>
      <c r="D80" s="3">
        <v>0.91042800000000002</v>
      </c>
      <c r="E80" s="11" t="s">
        <v>100</v>
      </c>
      <c r="F80" s="2">
        <v>0.1875</v>
      </c>
      <c r="G80" s="2">
        <v>0</v>
      </c>
      <c r="H80" s="11"/>
      <c r="I80" s="2"/>
      <c r="J80" s="2">
        <v>0</v>
      </c>
      <c r="K80" s="12"/>
      <c r="M80" s="3"/>
      <c r="N80" s="2">
        <v>0</v>
      </c>
      <c r="O80" s="2">
        <v>0</v>
      </c>
      <c r="P80" s="6">
        <v>0</v>
      </c>
      <c r="Q80" s="6">
        <v>0</v>
      </c>
      <c r="R80" s="2">
        <v>5.3600000000000002E-4</v>
      </c>
      <c r="T80" s="12">
        <v>2</v>
      </c>
      <c r="U80" s="7"/>
      <c r="V80" s="7"/>
      <c r="W80" s="8"/>
      <c r="X80" s="9"/>
      <c r="Y80" s="9"/>
      <c r="Z80" s="9"/>
      <c r="AA80" s="10"/>
      <c r="AB80" s="11"/>
      <c r="AC80"/>
      <c r="AD80"/>
      <c r="AE80"/>
      <c r="AF80"/>
      <c r="AG80"/>
    </row>
    <row r="81" spans="1:33" x14ac:dyDescent="0.2">
      <c r="A81" s="1" t="s">
        <v>197</v>
      </c>
      <c r="B81" s="5" t="s">
        <v>21</v>
      </c>
      <c r="C81" s="2">
        <v>3.3333000000000002E-2</v>
      </c>
      <c r="D81" s="3">
        <v>10.621665999999999</v>
      </c>
      <c r="E81" s="11" t="s">
        <v>74</v>
      </c>
      <c r="F81" s="2">
        <v>0.15</v>
      </c>
      <c r="G81" s="2">
        <v>0</v>
      </c>
      <c r="H81" s="11"/>
      <c r="I81" s="2"/>
      <c r="J81" s="2">
        <v>0</v>
      </c>
      <c r="K81" s="12"/>
      <c r="M81" s="3"/>
      <c r="N81" s="2">
        <v>0</v>
      </c>
      <c r="O81" s="2">
        <v>0</v>
      </c>
      <c r="P81" s="6">
        <v>0</v>
      </c>
      <c r="Q81" s="6">
        <v>0</v>
      </c>
      <c r="R81" s="2">
        <v>5.0000000000000001E-3</v>
      </c>
      <c r="T81" s="12">
        <v>2</v>
      </c>
      <c r="U81" s="7"/>
      <c r="V81" s="7"/>
      <c r="W81" s="8"/>
      <c r="X81" s="9"/>
      <c r="Y81" s="9"/>
      <c r="Z81" s="9"/>
      <c r="AA81" s="10"/>
      <c r="AB81" s="11"/>
      <c r="AC81"/>
      <c r="AD81"/>
      <c r="AE81"/>
      <c r="AF81"/>
      <c r="AG81"/>
    </row>
    <row r="82" spans="1:33" x14ac:dyDescent="0.2">
      <c r="A82" s="1" t="s">
        <v>113</v>
      </c>
      <c r="B82" s="5" t="s">
        <v>21</v>
      </c>
      <c r="C82" s="2">
        <v>2.7799999999999998E-4</v>
      </c>
      <c r="D82" s="3">
        <v>8.8514999999999996E-2</v>
      </c>
      <c r="E82" s="11" t="s">
        <v>168</v>
      </c>
      <c r="F82" s="2">
        <v>0.1875</v>
      </c>
      <c r="G82" s="2">
        <v>0</v>
      </c>
      <c r="H82" s="11"/>
      <c r="I82" s="2"/>
      <c r="J82" s="2">
        <v>0</v>
      </c>
      <c r="K82" s="12"/>
      <c r="M82" s="3"/>
      <c r="N82" s="2">
        <v>0</v>
      </c>
      <c r="O82" s="2">
        <v>0</v>
      </c>
      <c r="P82" s="6">
        <v>0</v>
      </c>
      <c r="Q82" s="6">
        <v>0</v>
      </c>
      <c r="R82" s="2">
        <v>5.1999999999999997E-5</v>
      </c>
      <c r="T82" s="12">
        <v>2</v>
      </c>
      <c r="U82" s="7"/>
      <c r="V82" s="7"/>
      <c r="W82" s="8"/>
      <c r="X82" s="9"/>
      <c r="Y82" s="9"/>
      <c r="Z82" s="9"/>
      <c r="AA82" s="10"/>
      <c r="AB82" s="11"/>
      <c r="AC82"/>
      <c r="AD82"/>
      <c r="AE82"/>
      <c r="AF82"/>
      <c r="AG82"/>
    </row>
    <row r="83" spans="1:33" x14ac:dyDescent="0.2">
      <c r="A83" s="1" t="s">
        <v>113</v>
      </c>
      <c r="B83" s="5" t="s">
        <v>21</v>
      </c>
      <c r="C83" s="2">
        <v>2.7799999999999998E-4</v>
      </c>
      <c r="D83" s="3">
        <v>8.8514999999999996E-2</v>
      </c>
      <c r="E83" s="11" t="s">
        <v>168</v>
      </c>
      <c r="F83" s="2">
        <v>0.1875</v>
      </c>
      <c r="G83" s="2">
        <v>0</v>
      </c>
      <c r="H83" s="11"/>
      <c r="I83" s="2"/>
      <c r="J83" s="2">
        <v>0</v>
      </c>
      <c r="K83" s="12"/>
      <c r="M83" s="3"/>
      <c r="N83" s="2">
        <v>0</v>
      </c>
      <c r="O83" s="2">
        <v>0</v>
      </c>
      <c r="P83" s="6">
        <v>0</v>
      </c>
      <c r="Q83" s="6">
        <v>0</v>
      </c>
      <c r="R83" s="2">
        <v>5.1999999999999997E-5</v>
      </c>
      <c r="T83" s="12">
        <v>2</v>
      </c>
      <c r="U83" s="7"/>
      <c r="V83" s="7"/>
      <c r="W83" s="8"/>
      <c r="X83" s="9"/>
      <c r="Y83" s="9"/>
      <c r="Z83" s="9"/>
      <c r="AA83" s="10"/>
      <c r="AB83" s="11"/>
      <c r="AC83"/>
      <c r="AD83"/>
      <c r="AE83"/>
      <c r="AF83"/>
      <c r="AG83"/>
    </row>
    <row r="84" spans="1:33" x14ac:dyDescent="0.2">
      <c r="A84" s="1" t="s">
        <v>113</v>
      </c>
      <c r="B84" s="5" t="s">
        <v>21</v>
      </c>
      <c r="C84" s="2">
        <v>9.2999999999999997E-5</v>
      </c>
      <c r="D84" s="3">
        <v>2.9503999999999999E-2</v>
      </c>
      <c r="E84" s="11" t="s">
        <v>168</v>
      </c>
      <c r="F84" s="2">
        <v>0.1875</v>
      </c>
      <c r="G84" s="2">
        <v>0</v>
      </c>
      <c r="H84" s="11"/>
      <c r="I84" s="2"/>
      <c r="J84" s="2">
        <v>0</v>
      </c>
      <c r="K84" s="12"/>
      <c r="M84" s="3"/>
      <c r="N84" s="2">
        <v>0</v>
      </c>
      <c r="O84" s="2">
        <v>0</v>
      </c>
      <c r="P84" s="6">
        <v>0</v>
      </c>
      <c r="Q84" s="6">
        <v>0</v>
      </c>
      <c r="R84" s="2">
        <v>1.7E-5</v>
      </c>
      <c r="T84" s="12">
        <v>2</v>
      </c>
      <c r="U84" s="7"/>
      <c r="V84" s="7"/>
      <c r="W84" s="8"/>
      <c r="X84" s="9"/>
      <c r="Y84" s="9"/>
      <c r="Z84" s="9"/>
      <c r="AA84" s="10"/>
      <c r="AB84" s="11"/>
      <c r="AC84"/>
      <c r="AD84"/>
      <c r="AE84"/>
      <c r="AF84"/>
      <c r="AG84"/>
    </row>
    <row r="85" spans="1:33" x14ac:dyDescent="0.2">
      <c r="A85" s="1" t="s">
        <v>113</v>
      </c>
      <c r="B85" s="5" t="s">
        <v>21</v>
      </c>
      <c r="C85" s="2">
        <v>3.1000000000000001E-5</v>
      </c>
      <c r="D85" s="3">
        <v>9.9579999999999998E-3</v>
      </c>
      <c r="E85" s="11" t="s">
        <v>168</v>
      </c>
      <c r="F85" s="2">
        <v>0.1875</v>
      </c>
      <c r="G85" s="2">
        <v>0</v>
      </c>
      <c r="H85" s="11"/>
      <c r="I85" s="2"/>
      <c r="J85" s="2">
        <v>0</v>
      </c>
      <c r="K85" s="12"/>
      <c r="M85" s="3"/>
      <c r="N85" s="2">
        <v>0</v>
      </c>
      <c r="O85" s="2">
        <v>0</v>
      </c>
      <c r="P85" s="6">
        <v>0</v>
      </c>
      <c r="Q85" s="6">
        <v>0</v>
      </c>
      <c r="R85" s="2">
        <v>6.0000000000000002E-6</v>
      </c>
      <c r="T85" s="12">
        <v>2</v>
      </c>
      <c r="U85" s="7"/>
      <c r="V85" s="7"/>
      <c r="W85" s="8"/>
      <c r="X85" s="9"/>
      <c r="Y85" s="9"/>
      <c r="Z85" s="9"/>
      <c r="AA85" s="10"/>
      <c r="AB85" s="11"/>
      <c r="AC85"/>
      <c r="AD85"/>
      <c r="AE85"/>
      <c r="AF85"/>
      <c r="AG85"/>
    </row>
    <row r="86" spans="1:33" x14ac:dyDescent="0.2">
      <c r="A86" s="1" t="s">
        <v>113</v>
      </c>
      <c r="B86" s="5" t="s">
        <v>21</v>
      </c>
      <c r="C86" s="2">
        <v>4.17E-4</v>
      </c>
      <c r="D86" s="3">
        <v>0.132772</v>
      </c>
      <c r="E86" s="11" t="s">
        <v>168</v>
      </c>
      <c r="F86" s="2">
        <v>0.1875</v>
      </c>
      <c r="G86" s="2">
        <v>0</v>
      </c>
      <c r="H86" s="11"/>
      <c r="I86" s="2"/>
      <c r="J86" s="2">
        <v>0</v>
      </c>
      <c r="K86" s="12"/>
      <c r="M86" s="3"/>
      <c r="N86" s="2">
        <v>0</v>
      </c>
      <c r="O86" s="2">
        <v>0</v>
      </c>
      <c r="P86" s="6">
        <v>0</v>
      </c>
      <c r="Q86" s="6">
        <v>0</v>
      </c>
      <c r="R86" s="2">
        <v>7.7999999999999999E-5</v>
      </c>
      <c r="T86" s="12">
        <v>2</v>
      </c>
      <c r="U86" s="7"/>
      <c r="V86" s="7"/>
      <c r="W86" s="8"/>
      <c r="X86" s="9"/>
      <c r="Y86" s="9"/>
      <c r="Z86" s="9"/>
      <c r="AA86" s="10"/>
      <c r="AB86" s="11"/>
      <c r="AC86"/>
      <c r="AD86"/>
      <c r="AE86"/>
      <c r="AF86"/>
      <c r="AG86"/>
    </row>
    <row r="87" spans="1:33" x14ac:dyDescent="0.2">
      <c r="A87" s="1" t="s">
        <v>113</v>
      </c>
      <c r="B87" s="5" t="s">
        <v>21</v>
      </c>
      <c r="C87" s="2">
        <v>1.25E-3</v>
      </c>
      <c r="D87" s="3">
        <v>0.39831299999999997</v>
      </c>
      <c r="E87" s="11" t="s">
        <v>168</v>
      </c>
      <c r="F87" s="2">
        <v>0.1875</v>
      </c>
      <c r="G87" s="2">
        <v>0</v>
      </c>
      <c r="H87" s="11"/>
      <c r="I87" s="2"/>
      <c r="J87" s="2">
        <v>0</v>
      </c>
      <c r="K87" s="12"/>
      <c r="M87" s="3"/>
      <c r="N87" s="2">
        <v>0</v>
      </c>
      <c r="O87" s="2">
        <v>0</v>
      </c>
      <c r="P87" s="6">
        <v>0</v>
      </c>
      <c r="Q87" s="6">
        <v>0</v>
      </c>
      <c r="R87" s="2">
        <v>2.34E-4</v>
      </c>
      <c r="T87" s="12">
        <v>2</v>
      </c>
      <c r="U87" s="7"/>
      <c r="V87" s="7"/>
      <c r="W87" s="8"/>
      <c r="X87" s="9"/>
      <c r="Y87" s="9"/>
      <c r="Z87" s="9"/>
      <c r="AA87" s="10"/>
      <c r="AB87" s="11"/>
      <c r="AC87"/>
      <c r="AD87"/>
      <c r="AE87"/>
      <c r="AF87"/>
      <c r="AG87"/>
    </row>
    <row r="88" spans="1:33" x14ac:dyDescent="0.2">
      <c r="A88" s="1" t="s">
        <v>113</v>
      </c>
      <c r="B88" s="5" t="s">
        <v>21</v>
      </c>
      <c r="C88" s="2">
        <v>9.2999999999999997E-5</v>
      </c>
      <c r="D88" s="3">
        <v>2.9503999999999999E-2</v>
      </c>
      <c r="E88" s="11" t="s">
        <v>168</v>
      </c>
      <c r="F88" s="2">
        <v>0.1875</v>
      </c>
      <c r="G88" s="2">
        <v>0</v>
      </c>
      <c r="H88" s="11"/>
      <c r="I88" s="2"/>
      <c r="J88" s="2">
        <v>0</v>
      </c>
      <c r="K88" s="12"/>
      <c r="M88" s="3"/>
      <c r="N88" s="2">
        <v>0</v>
      </c>
      <c r="O88" s="2">
        <v>0</v>
      </c>
      <c r="P88" s="6">
        <v>0</v>
      </c>
      <c r="Q88" s="6">
        <v>0</v>
      </c>
      <c r="R88" s="2">
        <v>1.7E-5</v>
      </c>
      <c r="T88" s="12">
        <v>2</v>
      </c>
      <c r="U88" s="7"/>
      <c r="V88" s="7"/>
      <c r="W88" s="8"/>
      <c r="X88" s="9"/>
      <c r="Y88" s="9"/>
      <c r="Z88" s="9"/>
      <c r="AA88" s="10"/>
      <c r="AB88" s="11"/>
      <c r="AC88"/>
      <c r="AD88"/>
      <c r="AE88"/>
      <c r="AF88"/>
      <c r="AG88"/>
    </row>
    <row r="89" spans="1:33" x14ac:dyDescent="0.2">
      <c r="A89" s="1" t="s">
        <v>113</v>
      </c>
      <c r="B89" s="5" t="s">
        <v>21</v>
      </c>
      <c r="C89" s="2">
        <v>4.17E-4</v>
      </c>
      <c r="D89" s="3">
        <v>0.132771</v>
      </c>
      <c r="E89" s="11" t="s">
        <v>168</v>
      </c>
      <c r="F89" s="2">
        <v>0.1875</v>
      </c>
      <c r="G89" s="2">
        <v>0</v>
      </c>
      <c r="H89" s="11"/>
      <c r="I89" s="2"/>
      <c r="J89" s="2">
        <v>0</v>
      </c>
      <c r="K89" s="12"/>
      <c r="M89" s="3"/>
      <c r="N89" s="2">
        <v>0</v>
      </c>
      <c r="O89" s="2">
        <v>0</v>
      </c>
      <c r="P89" s="6">
        <v>0</v>
      </c>
      <c r="Q89" s="6">
        <v>0</v>
      </c>
      <c r="R89" s="2">
        <v>7.7999999999999999E-5</v>
      </c>
      <c r="T89" s="12">
        <v>2</v>
      </c>
      <c r="U89" s="7"/>
      <c r="V89" s="7"/>
      <c r="W89" s="8"/>
      <c r="X89" s="9"/>
      <c r="Y89" s="9"/>
      <c r="Z89" s="9"/>
      <c r="AA89" s="10"/>
      <c r="AB89" s="11"/>
      <c r="AC89"/>
      <c r="AD89"/>
      <c r="AE89"/>
      <c r="AF89"/>
      <c r="AG89"/>
    </row>
    <row r="90" spans="1:33" x14ac:dyDescent="0.2">
      <c r="A90" s="1" t="s">
        <v>113</v>
      </c>
      <c r="B90" s="5" t="s">
        <v>21</v>
      </c>
      <c r="C90" s="2">
        <v>9.2999999999999997E-5</v>
      </c>
      <c r="D90" s="3">
        <v>2.9503999999999999E-2</v>
      </c>
      <c r="E90" s="11" t="s">
        <v>168</v>
      </c>
      <c r="F90" s="2">
        <v>0.1875</v>
      </c>
      <c r="G90" s="2">
        <v>0</v>
      </c>
      <c r="H90" s="11"/>
      <c r="I90" s="2"/>
      <c r="J90" s="2">
        <v>0</v>
      </c>
      <c r="K90" s="12"/>
      <c r="M90" s="3"/>
      <c r="N90" s="2">
        <v>0</v>
      </c>
      <c r="O90" s="2">
        <v>0</v>
      </c>
      <c r="P90" s="6">
        <v>0</v>
      </c>
      <c r="Q90" s="6">
        <v>0</v>
      </c>
      <c r="R90" s="2">
        <v>1.7E-5</v>
      </c>
      <c r="T90" s="12">
        <v>2</v>
      </c>
      <c r="U90" s="7"/>
      <c r="V90" s="7"/>
      <c r="W90" s="8"/>
      <c r="X90" s="9"/>
      <c r="Y90" s="9"/>
      <c r="Z90" s="9"/>
      <c r="AA90" s="10"/>
      <c r="AB90" s="11"/>
      <c r="AC90"/>
      <c r="AD90"/>
      <c r="AE90"/>
      <c r="AF90"/>
      <c r="AG90"/>
    </row>
    <row r="91" spans="1:33" x14ac:dyDescent="0.2">
      <c r="A91" s="1" t="s">
        <v>113</v>
      </c>
      <c r="B91" s="5" t="s">
        <v>21</v>
      </c>
      <c r="C91" s="2">
        <v>4.17E-4</v>
      </c>
      <c r="D91" s="3">
        <v>0.132772</v>
      </c>
      <c r="E91" s="11" t="s">
        <v>168</v>
      </c>
      <c r="F91" s="2">
        <v>0.1875</v>
      </c>
      <c r="G91" s="2">
        <v>0</v>
      </c>
      <c r="H91" s="11"/>
      <c r="I91" s="2"/>
      <c r="J91" s="2">
        <v>0</v>
      </c>
      <c r="K91" s="12"/>
      <c r="M91" s="3"/>
      <c r="N91" s="2">
        <v>0</v>
      </c>
      <c r="O91" s="2">
        <v>0</v>
      </c>
      <c r="P91" s="6">
        <v>0</v>
      </c>
      <c r="Q91" s="6">
        <v>0</v>
      </c>
      <c r="R91" s="2">
        <v>7.7999999999999999E-5</v>
      </c>
      <c r="T91" s="12">
        <v>2</v>
      </c>
      <c r="U91" s="7"/>
      <c r="V91" s="7"/>
      <c r="W91" s="8"/>
      <c r="X91" s="9"/>
      <c r="Y91" s="9"/>
      <c r="Z91" s="9"/>
      <c r="AA91" s="10"/>
      <c r="AB91" s="11"/>
      <c r="AC91"/>
      <c r="AD91"/>
      <c r="AE91"/>
      <c r="AF91"/>
      <c r="AG91"/>
    </row>
    <row r="92" spans="1:33" x14ac:dyDescent="0.2">
      <c r="A92" s="1" t="s">
        <v>198</v>
      </c>
      <c r="B92" s="5" t="s">
        <v>21</v>
      </c>
      <c r="C92" s="2">
        <v>6.2500000000000001E-4</v>
      </c>
      <c r="D92" s="3">
        <v>0.199156</v>
      </c>
      <c r="E92" s="11" t="s">
        <v>168</v>
      </c>
      <c r="F92" s="2">
        <v>0.1875</v>
      </c>
      <c r="G92" s="2">
        <v>0</v>
      </c>
      <c r="H92" s="11"/>
      <c r="I92" s="2"/>
      <c r="J92" s="2">
        <v>0</v>
      </c>
      <c r="K92" s="12"/>
      <c r="M92" s="3"/>
      <c r="N92" s="2">
        <v>0</v>
      </c>
      <c r="O92" s="2">
        <v>0</v>
      </c>
      <c r="P92" s="6">
        <v>0</v>
      </c>
      <c r="Q92" s="6">
        <v>0</v>
      </c>
      <c r="R92" s="2">
        <v>1.17E-4</v>
      </c>
      <c r="T92" s="12">
        <v>2</v>
      </c>
      <c r="U92" s="7"/>
      <c r="V92" s="7"/>
      <c r="W92" s="8"/>
      <c r="X92" s="9"/>
      <c r="Y92" s="9"/>
      <c r="Z92" s="9"/>
      <c r="AA92" s="10"/>
      <c r="AB92" s="11"/>
      <c r="AC92"/>
      <c r="AD92"/>
      <c r="AE92"/>
      <c r="AF92"/>
      <c r="AG92"/>
    </row>
    <row r="93" spans="1:33" x14ac:dyDescent="0.2">
      <c r="A93" s="1" t="s">
        <v>198</v>
      </c>
      <c r="B93" s="5" t="s">
        <v>21</v>
      </c>
      <c r="C93" s="2">
        <v>1.8519999999999999E-3</v>
      </c>
      <c r="D93" s="3">
        <v>0.59009199999999995</v>
      </c>
      <c r="E93" s="11" t="s">
        <v>168</v>
      </c>
      <c r="F93" s="2">
        <v>0.1875</v>
      </c>
      <c r="G93" s="2">
        <v>0</v>
      </c>
      <c r="H93" s="11"/>
      <c r="I93" s="2"/>
      <c r="J93" s="2">
        <v>0</v>
      </c>
      <c r="K93" s="12"/>
      <c r="M93" s="3"/>
      <c r="N93" s="2">
        <v>0</v>
      </c>
      <c r="O93" s="2">
        <v>0</v>
      </c>
      <c r="P93" s="6">
        <v>0</v>
      </c>
      <c r="Q93" s="6">
        <v>0</v>
      </c>
      <c r="R93" s="2">
        <v>3.4699999999999998E-4</v>
      </c>
      <c r="T93" s="12">
        <v>2</v>
      </c>
      <c r="U93" s="7"/>
      <c r="V93" s="7"/>
      <c r="W93" s="8"/>
      <c r="X93" s="9"/>
      <c r="Y93" s="9"/>
      <c r="Z93" s="9"/>
      <c r="AA93" s="10"/>
      <c r="AB93" s="11"/>
      <c r="AC93"/>
      <c r="AD93"/>
      <c r="AE93"/>
      <c r="AF93"/>
      <c r="AG93"/>
    </row>
    <row r="94" spans="1:33" x14ac:dyDescent="0.2">
      <c r="A94" s="1" t="s">
        <v>198</v>
      </c>
      <c r="B94" s="5" t="s">
        <v>21</v>
      </c>
      <c r="C94" s="2">
        <v>8.3330000000000001E-3</v>
      </c>
      <c r="D94" s="3">
        <v>2.6554160000000002</v>
      </c>
      <c r="E94" s="11" t="s">
        <v>168</v>
      </c>
      <c r="F94" s="2">
        <v>0.1875</v>
      </c>
      <c r="G94" s="2">
        <v>0</v>
      </c>
      <c r="H94" s="11"/>
      <c r="I94" s="2"/>
      <c r="J94" s="2">
        <v>0</v>
      </c>
      <c r="K94" s="12"/>
      <c r="M94" s="3"/>
      <c r="N94" s="2">
        <v>0</v>
      </c>
      <c r="O94" s="2">
        <v>0</v>
      </c>
      <c r="P94" s="6">
        <v>0</v>
      </c>
      <c r="Q94" s="6">
        <v>0</v>
      </c>
      <c r="R94" s="2">
        <v>1.5629999999999999E-3</v>
      </c>
      <c r="T94" s="12">
        <v>2</v>
      </c>
      <c r="U94" s="7"/>
      <c r="V94" s="7"/>
      <c r="W94" s="8"/>
      <c r="X94" s="9"/>
      <c r="Y94" s="9"/>
      <c r="Z94" s="9"/>
      <c r="AA94" s="10"/>
      <c r="AB94" s="11"/>
      <c r="AC94"/>
      <c r="AD94"/>
      <c r="AE94"/>
      <c r="AF94"/>
      <c r="AG94"/>
    </row>
    <row r="95" spans="1:33" x14ac:dyDescent="0.2">
      <c r="A95" s="1" t="s">
        <v>198</v>
      </c>
      <c r="B95" s="5" t="s">
        <v>21</v>
      </c>
      <c r="C95" s="2">
        <v>5.5560000000000002E-3</v>
      </c>
      <c r="D95" s="3">
        <v>1.7702789999999999</v>
      </c>
      <c r="E95" s="11" t="s">
        <v>168</v>
      </c>
      <c r="F95" s="2">
        <v>0.1875</v>
      </c>
      <c r="G95" s="2">
        <v>0</v>
      </c>
      <c r="H95" s="11"/>
      <c r="I95" s="2"/>
      <c r="J95" s="2">
        <v>0</v>
      </c>
      <c r="K95" s="12"/>
      <c r="M95" s="3"/>
      <c r="N95" s="2">
        <v>0</v>
      </c>
      <c r="O95" s="2">
        <v>0</v>
      </c>
      <c r="P95" s="6">
        <v>0</v>
      </c>
      <c r="Q95" s="6">
        <v>0</v>
      </c>
      <c r="R95" s="2">
        <v>1.042E-3</v>
      </c>
      <c r="T95" s="12">
        <v>2</v>
      </c>
      <c r="U95" s="7"/>
      <c r="V95" s="7"/>
      <c r="W95" s="8"/>
      <c r="X95" s="9"/>
      <c r="Y95" s="9"/>
      <c r="Z95" s="9"/>
      <c r="AA95" s="10"/>
      <c r="AB95" s="11"/>
      <c r="AC95"/>
      <c r="AD95"/>
      <c r="AE95"/>
      <c r="AF95"/>
      <c r="AG95"/>
    </row>
    <row r="96" spans="1:33" x14ac:dyDescent="0.2">
      <c r="A96" s="1" t="s">
        <v>198</v>
      </c>
      <c r="B96" s="5" t="s">
        <v>21</v>
      </c>
      <c r="C96" s="2">
        <v>1.8519999999999999E-3</v>
      </c>
      <c r="D96" s="3">
        <v>0.59009199999999995</v>
      </c>
      <c r="E96" s="11" t="s">
        <v>168</v>
      </c>
      <c r="F96" s="2">
        <v>0.1875</v>
      </c>
      <c r="G96" s="2">
        <v>0</v>
      </c>
      <c r="H96" s="11"/>
      <c r="I96" s="2"/>
      <c r="J96" s="2">
        <v>0</v>
      </c>
      <c r="K96" s="12"/>
      <c r="M96" s="3"/>
      <c r="N96" s="2">
        <v>0</v>
      </c>
      <c r="O96" s="2">
        <v>0</v>
      </c>
      <c r="P96" s="6">
        <v>0</v>
      </c>
      <c r="Q96" s="6">
        <v>0</v>
      </c>
      <c r="R96" s="2">
        <v>3.4699999999999998E-4</v>
      </c>
      <c r="T96" s="12">
        <v>2</v>
      </c>
      <c r="U96" s="7"/>
      <c r="V96" s="7"/>
      <c r="W96" s="8"/>
      <c r="X96" s="9"/>
      <c r="Y96" s="9"/>
      <c r="Z96" s="9"/>
      <c r="AA96" s="10"/>
      <c r="AB96" s="11"/>
      <c r="AC96"/>
      <c r="AD96"/>
      <c r="AE96"/>
      <c r="AF96"/>
      <c r="AG96"/>
    </row>
    <row r="97" spans="1:33" x14ac:dyDescent="0.2">
      <c r="A97" s="1" t="s">
        <v>198</v>
      </c>
      <c r="B97" s="5" t="s">
        <v>21</v>
      </c>
      <c r="C97" s="2">
        <v>5.5560000000000002E-3</v>
      </c>
      <c r="D97" s="3">
        <v>1.7702789999999999</v>
      </c>
      <c r="E97" s="11" t="s">
        <v>168</v>
      </c>
      <c r="F97" s="2">
        <v>0.1875</v>
      </c>
      <c r="G97" s="2">
        <v>0</v>
      </c>
      <c r="H97" s="11"/>
      <c r="I97" s="2"/>
      <c r="J97" s="2">
        <v>0</v>
      </c>
      <c r="K97" s="12"/>
      <c r="M97" s="3"/>
      <c r="N97" s="2">
        <v>0</v>
      </c>
      <c r="O97" s="2">
        <v>0</v>
      </c>
      <c r="P97" s="6">
        <v>0</v>
      </c>
      <c r="Q97" s="6">
        <v>0</v>
      </c>
      <c r="R97" s="2">
        <v>1.042E-3</v>
      </c>
      <c r="T97" s="12">
        <v>2</v>
      </c>
      <c r="U97" s="7"/>
      <c r="V97" s="7"/>
      <c r="W97" s="8"/>
      <c r="X97" s="9"/>
      <c r="Y97" s="9"/>
      <c r="Z97" s="9"/>
      <c r="AA97" s="10"/>
      <c r="AB97" s="11"/>
      <c r="AC97"/>
      <c r="AD97"/>
      <c r="AE97"/>
      <c r="AF97"/>
      <c r="AG97"/>
    </row>
    <row r="98" spans="1:33" x14ac:dyDescent="0.2">
      <c r="A98" s="1" t="s">
        <v>198</v>
      </c>
      <c r="B98" s="5" t="s">
        <v>21</v>
      </c>
      <c r="C98" s="2">
        <v>8.3330000000000001E-3</v>
      </c>
      <c r="D98" s="3">
        <v>2.6554150000000001</v>
      </c>
      <c r="E98" s="11" t="s">
        <v>168</v>
      </c>
      <c r="F98" s="2">
        <v>0.1875</v>
      </c>
      <c r="G98" s="2">
        <v>0</v>
      </c>
      <c r="H98" s="11"/>
      <c r="I98" s="2"/>
      <c r="J98" s="2">
        <v>0</v>
      </c>
      <c r="K98" s="12"/>
      <c r="M98" s="3"/>
      <c r="N98" s="2">
        <v>0</v>
      </c>
      <c r="O98" s="2">
        <v>0</v>
      </c>
      <c r="P98" s="6">
        <v>0</v>
      </c>
      <c r="Q98" s="6">
        <v>0</v>
      </c>
      <c r="R98" s="2">
        <v>1.5629999999999999E-3</v>
      </c>
      <c r="T98" s="12">
        <v>2</v>
      </c>
      <c r="U98" s="7"/>
      <c r="V98" s="7"/>
      <c r="W98" s="8"/>
      <c r="X98" s="9"/>
      <c r="Y98" s="9"/>
      <c r="Z98" s="9"/>
      <c r="AA98" s="10"/>
      <c r="AB98" s="11"/>
      <c r="AC98"/>
      <c r="AD98"/>
      <c r="AE98"/>
      <c r="AF98"/>
      <c r="AG98"/>
    </row>
    <row r="99" spans="1:33" x14ac:dyDescent="0.2">
      <c r="A99" s="1" t="s">
        <v>198</v>
      </c>
      <c r="B99" s="5" t="s">
        <v>21</v>
      </c>
      <c r="C99" s="2">
        <v>1.8519999999999999E-3</v>
      </c>
      <c r="D99" s="3">
        <v>0.59009199999999995</v>
      </c>
      <c r="E99" s="11" t="s">
        <v>168</v>
      </c>
      <c r="F99" s="2">
        <v>0.1875</v>
      </c>
      <c r="G99" s="2">
        <v>0</v>
      </c>
      <c r="H99" s="11"/>
      <c r="I99" s="2"/>
      <c r="J99" s="2">
        <v>0</v>
      </c>
      <c r="K99" s="12"/>
      <c r="M99" s="3"/>
      <c r="N99" s="2">
        <v>0</v>
      </c>
      <c r="O99" s="2">
        <v>0</v>
      </c>
      <c r="P99" s="6">
        <v>0</v>
      </c>
      <c r="Q99" s="6">
        <v>0</v>
      </c>
      <c r="R99" s="2">
        <v>3.4699999999999998E-4</v>
      </c>
      <c r="T99" s="12">
        <v>2</v>
      </c>
      <c r="U99" s="7"/>
      <c r="V99" s="7"/>
      <c r="W99" s="8"/>
      <c r="X99" s="9"/>
      <c r="Y99" s="9"/>
      <c r="Z99" s="9"/>
      <c r="AA99" s="10"/>
      <c r="AB99" s="11"/>
      <c r="AC99"/>
      <c r="AD99"/>
      <c r="AE99"/>
      <c r="AF99"/>
      <c r="AG99"/>
    </row>
    <row r="100" spans="1:33" x14ac:dyDescent="0.2">
      <c r="A100" s="1" t="s">
        <v>198</v>
      </c>
      <c r="B100" s="5" t="s">
        <v>21</v>
      </c>
      <c r="C100" s="2">
        <v>8.3330000000000001E-3</v>
      </c>
      <c r="D100" s="3">
        <v>2.6554160000000002</v>
      </c>
      <c r="E100" s="11" t="s">
        <v>168</v>
      </c>
      <c r="F100" s="2">
        <v>0.1875</v>
      </c>
      <c r="G100" s="2">
        <v>0</v>
      </c>
      <c r="H100" s="11"/>
      <c r="I100" s="2"/>
      <c r="J100" s="2">
        <v>0</v>
      </c>
      <c r="K100" s="12"/>
      <c r="M100" s="3"/>
      <c r="N100" s="2">
        <v>0</v>
      </c>
      <c r="O100" s="2">
        <v>0</v>
      </c>
      <c r="P100" s="6">
        <v>0</v>
      </c>
      <c r="Q100" s="6">
        <v>0</v>
      </c>
      <c r="R100" s="2">
        <v>1.5629999999999999E-3</v>
      </c>
      <c r="T100" s="12">
        <v>2</v>
      </c>
      <c r="U100" s="7"/>
      <c r="V100" s="7"/>
      <c r="W100" s="8"/>
      <c r="X100" s="9"/>
      <c r="Y100" s="9"/>
      <c r="Z100" s="9"/>
      <c r="AA100" s="10"/>
      <c r="AB100" s="11"/>
      <c r="AC100"/>
      <c r="AD100"/>
      <c r="AE100"/>
      <c r="AF100"/>
      <c r="AG100"/>
    </row>
    <row r="101" spans="1:33" x14ac:dyDescent="0.2">
      <c r="A101" s="1" t="s">
        <v>199</v>
      </c>
      <c r="B101" s="5" t="s">
        <v>21</v>
      </c>
      <c r="C101" s="2">
        <v>2.8570000000000002E-3</v>
      </c>
      <c r="D101" s="3">
        <v>0.91042800000000002</v>
      </c>
      <c r="E101" s="11" t="s">
        <v>100</v>
      </c>
      <c r="F101" s="2">
        <v>0.1875</v>
      </c>
      <c r="G101" s="2">
        <v>0</v>
      </c>
      <c r="H101" s="11"/>
      <c r="I101" s="2"/>
      <c r="J101" s="2">
        <v>0</v>
      </c>
      <c r="K101" s="12"/>
      <c r="M101" s="3"/>
      <c r="N101" s="2">
        <v>0</v>
      </c>
      <c r="O101" s="2">
        <v>0</v>
      </c>
      <c r="P101" s="6">
        <v>0</v>
      </c>
      <c r="Q101" s="6">
        <v>0</v>
      </c>
      <c r="R101" s="2">
        <v>5.3600000000000002E-4</v>
      </c>
      <c r="T101" s="12">
        <v>2</v>
      </c>
      <c r="U101" s="7"/>
      <c r="V101" s="7"/>
      <c r="W101" s="8"/>
      <c r="X101" s="9"/>
      <c r="Y101" s="9"/>
      <c r="Z101" s="9"/>
      <c r="AA101" s="10"/>
      <c r="AB101" s="11"/>
      <c r="AC101"/>
      <c r="AD101"/>
      <c r="AE101"/>
      <c r="AF101"/>
      <c r="AG101"/>
    </row>
    <row r="102" spans="1:33" x14ac:dyDescent="0.2">
      <c r="A102" s="1" t="s">
        <v>200</v>
      </c>
      <c r="B102" s="5" t="s">
        <v>21</v>
      </c>
      <c r="C102" s="2">
        <v>2.8570000000000002E-3</v>
      </c>
      <c r="D102" s="3">
        <v>0.91042800000000002</v>
      </c>
      <c r="E102" s="11" t="s">
        <v>100</v>
      </c>
      <c r="F102" s="2">
        <v>0.1875</v>
      </c>
      <c r="G102" s="2">
        <v>0</v>
      </c>
      <c r="H102" s="11"/>
      <c r="I102" s="2"/>
      <c r="J102" s="2">
        <v>0</v>
      </c>
      <c r="K102" s="12"/>
      <c r="M102" s="3"/>
      <c r="N102" s="2">
        <v>0</v>
      </c>
      <c r="O102" s="2">
        <v>0</v>
      </c>
      <c r="P102" s="6">
        <v>0</v>
      </c>
      <c r="Q102" s="6">
        <v>0</v>
      </c>
      <c r="R102" s="2">
        <v>5.3600000000000002E-4</v>
      </c>
      <c r="T102" s="12">
        <v>2</v>
      </c>
      <c r="U102" s="7"/>
      <c r="V102" s="7"/>
      <c r="W102" s="8"/>
      <c r="X102" s="9"/>
      <c r="Y102" s="9"/>
      <c r="Z102" s="9"/>
      <c r="AA102" s="10"/>
      <c r="AB102" s="11"/>
      <c r="AC102"/>
      <c r="AD102"/>
      <c r="AE102"/>
      <c r="AF102"/>
      <c r="AG102"/>
    </row>
    <row r="103" spans="1:33" x14ac:dyDescent="0.2">
      <c r="A103" s="1" t="s">
        <v>201</v>
      </c>
      <c r="B103" s="5" t="s">
        <v>21</v>
      </c>
      <c r="C103" s="2">
        <v>5.0879999999999996E-3</v>
      </c>
      <c r="D103" s="3">
        <v>1.621132</v>
      </c>
      <c r="E103" s="11" t="s">
        <v>28</v>
      </c>
      <c r="F103" s="2">
        <v>0.1875</v>
      </c>
      <c r="G103" s="2">
        <v>0</v>
      </c>
      <c r="H103" s="11"/>
      <c r="I103" s="2"/>
      <c r="J103" s="2">
        <v>0</v>
      </c>
      <c r="K103" s="12"/>
      <c r="M103" s="3"/>
      <c r="N103" s="2">
        <v>0</v>
      </c>
      <c r="O103" s="2">
        <v>0</v>
      </c>
      <c r="P103" s="6">
        <v>0</v>
      </c>
      <c r="Q103" s="6">
        <v>0</v>
      </c>
      <c r="R103" s="2">
        <v>9.5399999999999999E-4</v>
      </c>
      <c r="T103" s="12">
        <v>2</v>
      </c>
      <c r="U103" s="7"/>
      <c r="V103" s="7"/>
      <c r="W103" s="8"/>
      <c r="X103" s="9"/>
      <c r="Y103" s="9"/>
      <c r="Z103" s="9"/>
      <c r="AA103" s="10"/>
      <c r="AB103" s="11"/>
      <c r="AC103"/>
      <c r="AD103"/>
      <c r="AE103"/>
      <c r="AF103"/>
      <c r="AG103"/>
    </row>
    <row r="104" spans="1:33" x14ac:dyDescent="0.2">
      <c r="A104" s="1" t="s">
        <v>202</v>
      </c>
      <c r="B104" s="5" t="s">
        <v>21</v>
      </c>
      <c r="C104" s="2">
        <v>1.5790000000000001E-3</v>
      </c>
      <c r="D104" s="3">
        <v>0.50320299999999996</v>
      </c>
      <c r="E104" s="11" t="s">
        <v>28</v>
      </c>
      <c r="F104" s="2">
        <v>0.1875</v>
      </c>
      <c r="G104" s="2">
        <v>0</v>
      </c>
      <c r="H104" s="11"/>
      <c r="I104" s="2"/>
      <c r="J104" s="2">
        <v>0</v>
      </c>
      <c r="K104" s="12"/>
      <c r="M104" s="3"/>
      <c r="N104" s="2">
        <v>0</v>
      </c>
      <c r="O104" s="2">
        <v>0</v>
      </c>
      <c r="P104" s="6">
        <v>0</v>
      </c>
      <c r="Q104" s="6">
        <v>0</v>
      </c>
      <c r="R104" s="2">
        <v>2.9599999999999998E-4</v>
      </c>
      <c r="T104" s="12">
        <v>2</v>
      </c>
      <c r="U104" s="7"/>
      <c r="V104" s="7"/>
      <c r="W104" s="8"/>
      <c r="X104" s="9"/>
      <c r="Y104" s="9"/>
      <c r="Z104" s="9"/>
      <c r="AA104" s="10"/>
      <c r="AB104" s="11"/>
      <c r="AC104"/>
      <c r="AD104"/>
      <c r="AE104"/>
      <c r="AF104"/>
      <c r="AG104"/>
    </row>
    <row r="105" spans="1:33" x14ac:dyDescent="0.2">
      <c r="A105" s="1" t="s">
        <v>203</v>
      </c>
      <c r="B105" s="5" t="s">
        <v>21</v>
      </c>
      <c r="C105" s="2">
        <v>7.4999999999999997E-2</v>
      </c>
      <c r="D105" s="3">
        <v>23.89875</v>
      </c>
      <c r="E105" s="11" t="s">
        <v>73</v>
      </c>
      <c r="F105" s="2">
        <v>0.16666666999999999</v>
      </c>
      <c r="G105" s="2">
        <v>0</v>
      </c>
      <c r="H105" s="11"/>
      <c r="I105" s="2"/>
      <c r="J105" s="2">
        <v>0</v>
      </c>
      <c r="K105" s="12"/>
      <c r="M105" s="3"/>
      <c r="N105" s="2">
        <v>0</v>
      </c>
      <c r="O105" s="2">
        <v>0</v>
      </c>
      <c r="P105" s="6">
        <v>0</v>
      </c>
      <c r="Q105" s="6">
        <v>0</v>
      </c>
      <c r="R105" s="2">
        <v>1.2500000000000001E-2</v>
      </c>
      <c r="T105" s="12">
        <v>2</v>
      </c>
      <c r="U105" s="7"/>
      <c r="V105" s="7"/>
      <c r="W105" s="8"/>
      <c r="X105" s="9"/>
      <c r="Y105" s="9"/>
      <c r="Z105" s="9"/>
      <c r="AA105" s="10"/>
      <c r="AB105" s="11"/>
      <c r="AC105"/>
      <c r="AD105"/>
      <c r="AE105"/>
      <c r="AF105"/>
      <c r="AG105"/>
    </row>
    <row r="106" spans="1:33" x14ac:dyDescent="0.2">
      <c r="A106" s="1" t="s">
        <v>204</v>
      </c>
      <c r="B106" s="5" t="s">
        <v>21</v>
      </c>
      <c r="C106" s="2">
        <v>5.5599999999999996E-4</v>
      </c>
      <c r="D106" s="3">
        <v>0.17702899999999999</v>
      </c>
      <c r="E106" s="11" t="s">
        <v>168</v>
      </c>
      <c r="F106" s="2">
        <v>0.1875</v>
      </c>
      <c r="G106" s="2">
        <v>0</v>
      </c>
      <c r="H106" s="11"/>
      <c r="I106" s="2"/>
      <c r="J106" s="2">
        <v>0</v>
      </c>
      <c r="K106" s="12"/>
      <c r="M106" s="3"/>
      <c r="N106" s="2">
        <v>0</v>
      </c>
      <c r="O106" s="2">
        <v>0</v>
      </c>
      <c r="P106" s="6">
        <v>0</v>
      </c>
      <c r="Q106" s="6">
        <v>0</v>
      </c>
      <c r="R106" s="2">
        <v>1.0399999999999999E-4</v>
      </c>
      <c r="T106" s="12">
        <v>2</v>
      </c>
      <c r="U106" s="7"/>
      <c r="V106" s="7"/>
      <c r="W106" s="8"/>
      <c r="X106" s="9"/>
      <c r="Y106" s="9"/>
      <c r="Z106" s="9"/>
      <c r="AA106" s="10"/>
      <c r="AB106" s="11"/>
      <c r="AC106"/>
      <c r="AD106"/>
      <c r="AE106"/>
      <c r="AF106"/>
      <c r="AG106"/>
    </row>
    <row r="107" spans="1:33" x14ac:dyDescent="0.2">
      <c r="A107" s="1" t="s">
        <v>204</v>
      </c>
      <c r="B107" s="5" t="s">
        <v>21</v>
      </c>
      <c r="C107" s="2">
        <v>2.5000000000000001E-3</v>
      </c>
      <c r="D107" s="3">
        <v>0.796624</v>
      </c>
      <c r="E107" s="11" t="s">
        <v>168</v>
      </c>
      <c r="F107" s="2">
        <v>0.1875</v>
      </c>
      <c r="G107" s="2">
        <v>0</v>
      </c>
      <c r="H107" s="11"/>
      <c r="I107" s="2"/>
      <c r="J107" s="2">
        <v>0</v>
      </c>
      <c r="K107" s="12"/>
      <c r="M107" s="3"/>
      <c r="N107" s="2">
        <v>0</v>
      </c>
      <c r="O107" s="2">
        <v>0</v>
      </c>
      <c r="P107" s="6">
        <v>0</v>
      </c>
      <c r="Q107" s="6">
        <v>0</v>
      </c>
      <c r="R107" s="2">
        <v>4.6900000000000002E-4</v>
      </c>
      <c r="T107" s="12">
        <v>2</v>
      </c>
      <c r="U107" s="7"/>
      <c r="V107" s="7"/>
      <c r="W107" s="8"/>
      <c r="X107" s="9"/>
      <c r="Y107" s="9"/>
      <c r="Z107" s="9"/>
      <c r="AA107" s="10"/>
      <c r="AB107" s="11"/>
      <c r="AC107"/>
      <c r="AD107"/>
      <c r="AE107"/>
      <c r="AF107"/>
      <c r="AG107"/>
    </row>
    <row r="108" spans="1:33" x14ac:dyDescent="0.2">
      <c r="A108" s="1" t="s">
        <v>204</v>
      </c>
      <c r="B108" s="5" t="s">
        <v>21</v>
      </c>
      <c r="C108" s="2">
        <v>1.8799999999999999E-4</v>
      </c>
      <c r="D108" s="3">
        <v>5.9747000000000001E-2</v>
      </c>
      <c r="E108" s="11" t="s">
        <v>168</v>
      </c>
      <c r="F108" s="2">
        <v>0.1875</v>
      </c>
      <c r="G108" s="2">
        <v>0</v>
      </c>
      <c r="H108" s="11"/>
      <c r="I108" s="2"/>
      <c r="J108" s="2">
        <v>0</v>
      </c>
      <c r="K108" s="12"/>
      <c r="M108" s="3"/>
      <c r="N108" s="2">
        <v>0</v>
      </c>
      <c r="O108" s="2">
        <v>0</v>
      </c>
      <c r="P108" s="6">
        <v>0</v>
      </c>
      <c r="Q108" s="6">
        <v>0</v>
      </c>
      <c r="R108" s="2">
        <v>3.4999999999999997E-5</v>
      </c>
      <c r="T108" s="12">
        <v>2</v>
      </c>
      <c r="U108" s="7"/>
      <c r="V108" s="7"/>
      <c r="W108" s="8"/>
      <c r="X108" s="9"/>
      <c r="Y108" s="9"/>
      <c r="Z108" s="9"/>
      <c r="AA108" s="10"/>
      <c r="AB108" s="11"/>
      <c r="AC108"/>
      <c r="AD108"/>
      <c r="AE108"/>
      <c r="AF108"/>
      <c r="AG108"/>
    </row>
    <row r="109" spans="1:33" x14ac:dyDescent="0.2">
      <c r="A109" s="1" t="s">
        <v>204</v>
      </c>
      <c r="B109" s="5" t="s">
        <v>21</v>
      </c>
      <c r="C109" s="2">
        <v>1.6670000000000001E-3</v>
      </c>
      <c r="D109" s="3">
        <v>0.531084</v>
      </c>
      <c r="E109" s="11" t="s">
        <v>168</v>
      </c>
      <c r="F109" s="2">
        <v>0.1875</v>
      </c>
      <c r="G109" s="2">
        <v>0</v>
      </c>
      <c r="H109" s="11"/>
      <c r="I109" s="2"/>
      <c r="J109" s="2">
        <v>0</v>
      </c>
      <c r="K109" s="12"/>
      <c r="M109" s="3"/>
      <c r="N109" s="2">
        <v>0</v>
      </c>
      <c r="O109" s="2">
        <v>0</v>
      </c>
      <c r="P109" s="6">
        <v>0</v>
      </c>
      <c r="Q109" s="6">
        <v>0</v>
      </c>
      <c r="R109" s="2">
        <v>3.1300000000000002E-4</v>
      </c>
      <c r="T109" s="12">
        <v>2</v>
      </c>
      <c r="U109" s="7"/>
      <c r="V109" s="7"/>
      <c r="W109" s="8"/>
      <c r="X109" s="9"/>
      <c r="Y109" s="9"/>
      <c r="Z109" s="9"/>
      <c r="AA109" s="10"/>
      <c r="AB109" s="11"/>
      <c r="AC109"/>
      <c r="AD109"/>
      <c r="AE109"/>
      <c r="AF109"/>
      <c r="AG109"/>
    </row>
    <row r="110" spans="1:33" x14ac:dyDescent="0.2">
      <c r="A110" s="1" t="s">
        <v>204</v>
      </c>
      <c r="B110" s="5" t="s">
        <v>21</v>
      </c>
      <c r="C110" s="2">
        <v>5.5599999999999996E-4</v>
      </c>
      <c r="D110" s="3">
        <v>0.17702899999999999</v>
      </c>
      <c r="E110" s="11" t="s">
        <v>168</v>
      </c>
      <c r="F110" s="2">
        <v>0.1875</v>
      </c>
      <c r="G110" s="2">
        <v>0</v>
      </c>
      <c r="H110" s="11"/>
      <c r="I110" s="2"/>
      <c r="J110" s="2">
        <v>0</v>
      </c>
      <c r="K110" s="12"/>
      <c r="M110" s="3"/>
      <c r="N110" s="2">
        <v>0</v>
      </c>
      <c r="O110" s="2">
        <v>0</v>
      </c>
      <c r="P110" s="6">
        <v>0</v>
      </c>
      <c r="Q110" s="6">
        <v>0</v>
      </c>
      <c r="R110" s="2">
        <v>1.0399999999999999E-4</v>
      </c>
      <c r="T110" s="12">
        <v>2</v>
      </c>
      <c r="U110" s="7"/>
      <c r="V110" s="7"/>
      <c r="W110" s="8"/>
      <c r="X110" s="9"/>
      <c r="Y110" s="9"/>
      <c r="Z110" s="9"/>
      <c r="AA110" s="10"/>
      <c r="AB110" s="11"/>
      <c r="AC110"/>
      <c r="AD110"/>
      <c r="AE110"/>
      <c r="AF110"/>
      <c r="AG110"/>
    </row>
    <row r="111" spans="1:33" x14ac:dyDescent="0.2">
      <c r="A111" s="1" t="s">
        <v>204</v>
      </c>
      <c r="B111" s="5" t="s">
        <v>21</v>
      </c>
      <c r="C111" s="2">
        <v>2.5000000000000001E-3</v>
      </c>
      <c r="D111" s="3">
        <v>0.79662500000000003</v>
      </c>
      <c r="E111" s="11" t="s">
        <v>168</v>
      </c>
      <c r="F111" s="2">
        <v>0.1875</v>
      </c>
      <c r="G111" s="2">
        <v>0</v>
      </c>
      <c r="H111" s="11"/>
      <c r="I111" s="2"/>
      <c r="J111" s="2">
        <v>0</v>
      </c>
      <c r="K111" s="12"/>
      <c r="M111" s="3"/>
      <c r="N111" s="2">
        <v>0</v>
      </c>
      <c r="O111" s="2">
        <v>0</v>
      </c>
      <c r="P111" s="6">
        <v>0</v>
      </c>
      <c r="Q111" s="6">
        <v>0</v>
      </c>
      <c r="R111" s="2">
        <v>4.6900000000000002E-4</v>
      </c>
      <c r="T111" s="12">
        <v>2</v>
      </c>
      <c r="U111" s="7"/>
      <c r="V111" s="7"/>
      <c r="W111" s="8"/>
      <c r="X111" s="9"/>
      <c r="Y111" s="9"/>
      <c r="Z111" s="9"/>
      <c r="AA111" s="10"/>
      <c r="AB111" s="11"/>
      <c r="AC111"/>
      <c r="AD111"/>
      <c r="AE111"/>
      <c r="AF111"/>
      <c r="AG111"/>
    </row>
    <row r="112" spans="1:33" x14ac:dyDescent="0.2">
      <c r="A112" s="1" t="s">
        <v>204</v>
      </c>
      <c r="B112" s="5" t="s">
        <v>21</v>
      </c>
      <c r="C112" s="2">
        <v>5.5599999999999996E-4</v>
      </c>
      <c r="D112" s="3">
        <v>0.17702899999999999</v>
      </c>
      <c r="E112" s="11" t="s">
        <v>168</v>
      </c>
      <c r="F112" s="2">
        <v>0.1875</v>
      </c>
      <c r="G112" s="2">
        <v>0</v>
      </c>
      <c r="H112" s="11"/>
      <c r="I112" s="2"/>
      <c r="J112" s="2">
        <v>0</v>
      </c>
      <c r="K112" s="12"/>
      <c r="M112" s="3"/>
      <c r="N112" s="2">
        <v>0</v>
      </c>
      <c r="O112" s="2">
        <v>0</v>
      </c>
      <c r="P112" s="6">
        <v>0</v>
      </c>
      <c r="Q112" s="6">
        <v>0</v>
      </c>
      <c r="R112" s="2">
        <v>1.0399999999999999E-4</v>
      </c>
      <c r="T112" s="12">
        <v>2</v>
      </c>
      <c r="U112" s="7"/>
      <c r="V112" s="7"/>
      <c r="W112" s="8"/>
      <c r="X112" s="9"/>
      <c r="Y112" s="9"/>
      <c r="Z112" s="9"/>
      <c r="AA112" s="10"/>
      <c r="AB112" s="11"/>
      <c r="AC112"/>
      <c r="AD112"/>
      <c r="AE112"/>
      <c r="AF112"/>
      <c r="AG112"/>
    </row>
    <row r="113" spans="1:33" x14ac:dyDescent="0.2">
      <c r="A113" s="1" t="s">
        <v>204</v>
      </c>
      <c r="B113" s="5" t="s">
        <v>21</v>
      </c>
      <c r="C113" s="2">
        <v>1.6670000000000001E-3</v>
      </c>
      <c r="D113" s="3">
        <v>0.531084</v>
      </c>
      <c r="E113" s="11" t="s">
        <v>168</v>
      </c>
      <c r="F113" s="2">
        <v>0.1875</v>
      </c>
      <c r="G113" s="2">
        <v>0</v>
      </c>
      <c r="H113" s="11"/>
      <c r="I113" s="2"/>
      <c r="J113" s="2">
        <v>0</v>
      </c>
      <c r="K113" s="12"/>
      <c r="M113" s="3"/>
      <c r="N113" s="2">
        <v>0</v>
      </c>
      <c r="O113" s="2">
        <v>0</v>
      </c>
      <c r="P113" s="6">
        <v>0</v>
      </c>
      <c r="Q113" s="6">
        <v>0</v>
      </c>
      <c r="R113" s="2">
        <v>3.1300000000000002E-4</v>
      </c>
      <c r="T113" s="12">
        <v>2</v>
      </c>
      <c r="U113" s="7"/>
      <c r="V113" s="7"/>
      <c r="W113" s="8"/>
      <c r="X113" s="9"/>
      <c r="Y113" s="9"/>
      <c r="Z113" s="9"/>
      <c r="AA113" s="10"/>
      <c r="AB113" s="11"/>
      <c r="AC113"/>
      <c r="AD113"/>
      <c r="AE113"/>
      <c r="AF113"/>
      <c r="AG113"/>
    </row>
    <row r="114" spans="1:33" x14ac:dyDescent="0.2">
      <c r="A114" s="1" t="s">
        <v>204</v>
      </c>
      <c r="B114" s="5" t="s">
        <v>21</v>
      </c>
      <c r="C114" s="2">
        <v>2.5000000000000001E-3</v>
      </c>
      <c r="D114" s="3">
        <v>0.79662500000000003</v>
      </c>
      <c r="E114" s="11" t="s">
        <v>168</v>
      </c>
      <c r="F114" s="2">
        <v>0.1875</v>
      </c>
      <c r="G114" s="2">
        <v>0</v>
      </c>
      <c r="H114" s="11"/>
      <c r="I114" s="2"/>
      <c r="J114" s="2">
        <v>0</v>
      </c>
      <c r="K114" s="12"/>
      <c r="M114" s="3"/>
      <c r="N114" s="2">
        <v>0</v>
      </c>
      <c r="O114" s="2">
        <v>0</v>
      </c>
      <c r="P114" s="6">
        <v>0</v>
      </c>
      <c r="Q114" s="6">
        <v>0</v>
      </c>
      <c r="R114" s="2">
        <v>4.6900000000000002E-4</v>
      </c>
      <c r="T114" s="12">
        <v>2</v>
      </c>
      <c r="U114" s="7"/>
      <c r="V114" s="7"/>
      <c r="W114" s="8"/>
      <c r="X114" s="9"/>
      <c r="Y114" s="9"/>
      <c r="Z114" s="9"/>
      <c r="AA114" s="10"/>
      <c r="AB114" s="11"/>
      <c r="AC114"/>
      <c r="AD114"/>
      <c r="AE114"/>
      <c r="AF114"/>
      <c r="AG114"/>
    </row>
    <row r="115" spans="1:33" x14ac:dyDescent="0.2">
      <c r="A115" s="1" t="s">
        <v>206</v>
      </c>
      <c r="B115" s="5" t="s">
        <v>21</v>
      </c>
      <c r="C115" s="2">
        <v>1.6667000000000001E-2</v>
      </c>
      <c r="D115" s="3">
        <v>5.3108339999999998</v>
      </c>
      <c r="E115" s="11" t="s">
        <v>174</v>
      </c>
      <c r="F115" s="2">
        <v>0.15</v>
      </c>
      <c r="G115" s="2">
        <v>0</v>
      </c>
      <c r="H115" s="11"/>
      <c r="I115" s="2"/>
      <c r="J115" s="2">
        <v>0</v>
      </c>
      <c r="K115" s="12"/>
      <c r="M115" s="3"/>
      <c r="N115" s="2">
        <v>0</v>
      </c>
      <c r="O115" s="2">
        <v>0</v>
      </c>
      <c r="P115" s="6">
        <v>0</v>
      </c>
      <c r="Q115" s="6">
        <v>0</v>
      </c>
      <c r="R115" s="2">
        <v>2.5000000000000001E-3</v>
      </c>
      <c r="T115" s="12">
        <v>2</v>
      </c>
      <c r="U115" s="7"/>
      <c r="V115" s="7"/>
      <c r="W115" s="8"/>
      <c r="X115" s="9"/>
      <c r="Y115" s="9"/>
      <c r="Z115" s="9"/>
      <c r="AA115" s="10"/>
      <c r="AB115" s="11"/>
      <c r="AC115"/>
      <c r="AD115"/>
      <c r="AE115"/>
      <c r="AF115"/>
      <c r="AG115"/>
    </row>
    <row r="116" spans="1:33" x14ac:dyDescent="0.2">
      <c r="A116" s="1" t="s">
        <v>207</v>
      </c>
      <c r="B116" s="5" t="s">
        <v>21</v>
      </c>
      <c r="C116" s="2">
        <v>3.333E-3</v>
      </c>
      <c r="D116" s="3">
        <v>1.0621659999999999</v>
      </c>
      <c r="E116" s="11" t="s">
        <v>28</v>
      </c>
      <c r="F116" s="2">
        <v>0.1875</v>
      </c>
      <c r="G116" s="2">
        <v>0</v>
      </c>
      <c r="H116" s="11"/>
      <c r="I116" s="2"/>
      <c r="J116" s="2">
        <v>0</v>
      </c>
      <c r="K116" s="12"/>
      <c r="M116" s="3"/>
      <c r="N116" s="2">
        <v>0</v>
      </c>
      <c r="O116" s="2">
        <v>0</v>
      </c>
      <c r="P116" s="6">
        <v>0</v>
      </c>
      <c r="Q116" s="6">
        <v>0</v>
      </c>
      <c r="R116" s="2">
        <v>6.2500000000000001E-4</v>
      </c>
      <c r="T116" s="12">
        <v>2</v>
      </c>
      <c r="U116" s="7"/>
      <c r="V116" s="7"/>
      <c r="W116" s="8"/>
      <c r="X116" s="9"/>
      <c r="Y116" s="9"/>
      <c r="Z116" s="9"/>
      <c r="AA116" s="10"/>
      <c r="AB116" s="11"/>
      <c r="AC116"/>
      <c r="AD116"/>
      <c r="AE116"/>
      <c r="AF116"/>
      <c r="AG116"/>
    </row>
    <row r="117" spans="1:33" x14ac:dyDescent="0.2">
      <c r="A117" s="1" t="s">
        <v>212</v>
      </c>
      <c r="B117" s="5" t="s">
        <v>21</v>
      </c>
      <c r="C117" s="2">
        <v>1.6667000000000001E-2</v>
      </c>
      <c r="D117" s="3">
        <v>5.3108339999999998</v>
      </c>
      <c r="E117" s="11" t="s">
        <v>174</v>
      </c>
      <c r="F117" s="2">
        <v>0.15</v>
      </c>
      <c r="G117" s="2">
        <v>0</v>
      </c>
      <c r="H117" s="11"/>
      <c r="I117" s="2"/>
      <c r="J117" s="2">
        <v>0</v>
      </c>
      <c r="K117" s="12"/>
      <c r="M117" s="3"/>
      <c r="N117" s="2">
        <v>0</v>
      </c>
      <c r="O117" s="2">
        <v>0</v>
      </c>
      <c r="P117" s="6">
        <v>0</v>
      </c>
      <c r="Q117" s="6">
        <v>0</v>
      </c>
      <c r="R117" s="2">
        <v>2.5000000000000001E-3</v>
      </c>
      <c r="T117" s="12">
        <v>2</v>
      </c>
      <c r="U117" s="7"/>
      <c r="V117" s="7"/>
      <c r="W117" s="8"/>
      <c r="X117" s="9"/>
      <c r="Y117" s="9"/>
      <c r="Z117" s="9"/>
      <c r="AA117" s="10"/>
      <c r="AB117" s="11"/>
      <c r="AC117"/>
      <c r="AD117"/>
      <c r="AE117"/>
      <c r="AF117"/>
      <c r="AG117"/>
    </row>
    <row r="118" spans="1:33" x14ac:dyDescent="0.2">
      <c r="A118" s="1" t="s">
        <v>213</v>
      </c>
      <c r="B118" s="5" t="s">
        <v>21</v>
      </c>
      <c r="C118" s="2">
        <v>3.333E-3</v>
      </c>
      <c r="D118" s="3">
        <v>1.0621659999999999</v>
      </c>
      <c r="E118" s="11" t="s">
        <v>27</v>
      </c>
      <c r="F118" s="2">
        <v>0.1875</v>
      </c>
      <c r="G118" s="2">
        <v>0</v>
      </c>
      <c r="H118" s="11"/>
      <c r="I118" s="2"/>
      <c r="J118" s="2">
        <v>0</v>
      </c>
      <c r="K118" s="12"/>
      <c r="M118" s="3"/>
      <c r="N118" s="2">
        <v>0</v>
      </c>
      <c r="O118" s="2">
        <v>0</v>
      </c>
      <c r="P118" s="6">
        <v>0</v>
      </c>
      <c r="Q118" s="6">
        <v>0</v>
      </c>
      <c r="R118" s="2">
        <v>6.2500000000000001E-4</v>
      </c>
      <c r="T118" s="12">
        <v>2</v>
      </c>
      <c r="U118" s="7"/>
      <c r="V118" s="7"/>
      <c r="W118" s="8"/>
      <c r="X118" s="9"/>
      <c r="Y118" s="9"/>
      <c r="Z118" s="9"/>
      <c r="AA118" s="10"/>
      <c r="AB118" s="11"/>
      <c r="AC118"/>
      <c r="AD118"/>
      <c r="AE118"/>
      <c r="AF118"/>
      <c r="AG118"/>
    </row>
    <row r="119" spans="1:33" ht="38.25" x14ac:dyDescent="0.2">
      <c r="A119" s="1" t="s">
        <v>214</v>
      </c>
      <c r="B119" s="5" t="s">
        <v>21</v>
      </c>
      <c r="C119" s="2">
        <v>0.02</v>
      </c>
      <c r="D119" s="3">
        <v>6.3730000000000002</v>
      </c>
      <c r="E119" s="11" t="s">
        <v>26</v>
      </c>
      <c r="F119" s="2">
        <v>0.1875</v>
      </c>
      <c r="G119" s="2">
        <v>0</v>
      </c>
      <c r="H119" s="11"/>
      <c r="I119" s="2"/>
      <c r="J119" s="2">
        <v>0</v>
      </c>
      <c r="K119" s="12"/>
      <c r="M119" s="3"/>
      <c r="N119" s="2">
        <v>0</v>
      </c>
      <c r="O119" s="2">
        <v>0</v>
      </c>
      <c r="P119" s="6">
        <v>0</v>
      </c>
      <c r="Q119" s="6">
        <v>0</v>
      </c>
      <c r="R119" s="2">
        <v>3.7499999999999999E-3</v>
      </c>
      <c r="T119" s="12">
        <v>2</v>
      </c>
      <c r="U119" s="7"/>
      <c r="V119" s="7"/>
      <c r="W119" s="8"/>
      <c r="X119" s="9"/>
      <c r="Y119" s="9"/>
      <c r="Z119" s="9"/>
      <c r="AA119" s="10"/>
      <c r="AB119" s="11"/>
      <c r="AC119"/>
      <c r="AD119"/>
      <c r="AE119"/>
      <c r="AF119"/>
      <c r="AG119"/>
    </row>
    <row r="120" spans="1:33" x14ac:dyDescent="0.2">
      <c r="A120" s="1" t="s">
        <v>215</v>
      </c>
      <c r="B120" s="5" t="s">
        <v>21</v>
      </c>
      <c r="C120" s="2">
        <v>6.7000000000000002E-5</v>
      </c>
      <c r="D120" s="3">
        <v>2.1243999999999999E-2</v>
      </c>
      <c r="E120" s="11" t="s">
        <v>168</v>
      </c>
      <c r="F120" s="2">
        <v>0.1875</v>
      </c>
      <c r="G120" s="2">
        <v>0</v>
      </c>
      <c r="H120" s="11"/>
      <c r="I120" s="2"/>
      <c r="J120" s="2">
        <v>0</v>
      </c>
      <c r="K120" s="12"/>
      <c r="M120" s="3"/>
      <c r="N120" s="2">
        <v>0</v>
      </c>
      <c r="O120" s="2">
        <v>0</v>
      </c>
      <c r="P120" s="6">
        <v>0</v>
      </c>
      <c r="Q120" s="6">
        <v>0</v>
      </c>
      <c r="R120" s="2">
        <v>1.2999999999999999E-5</v>
      </c>
      <c r="T120" s="12">
        <v>2</v>
      </c>
      <c r="U120" s="7"/>
      <c r="V120" s="7"/>
      <c r="W120" s="8"/>
      <c r="X120" s="9"/>
      <c r="Y120" s="9"/>
      <c r="Z120" s="9"/>
      <c r="AA120" s="10"/>
      <c r="AB120" s="11"/>
      <c r="AC120"/>
      <c r="AD120"/>
      <c r="AE120"/>
      <c r="AF120"/>
      <c r="AG120"/>
    </row>
    <row r="121" spans="1:33" x14ac:dyDescent="0.2">
      <c r="A121" s="1" t="s">
        <v>215</v>
      </c>
      <c r="B121" s="5" t="s">
        <v>21</v>
      </c>
      <c r="C121" s="2">
        <v>1E-4</v>
      </c>
      <c r="D121" s="3">
        <v>3.1864000000000003E-2</v>
      </c>
      <c r="E121" s="11" t="s">
        <v>168</v>
      </c>
      <c r="F121" s="2">
        <v>0.1875</v>
      </c>
      <c r="G121" s="2">
        <v>0</v>
      </c>
      <c r="H121" s="11"/>
      <c r="I121" s="2"/>
      <c r="J121" s="2">
        <v>0</v>
      </c>
      <c r="K121" s="12"/>
      <c r="M121" s="3"/>
      <c r="N121" s="2">
        <v>0</v>
      </c>
      <c r="O121" s="2">
        <v>0</v>
      </c>
      <c r="P121" s="6">
        <v>0</v>
      </c>
      <c r="Q121" s="6">
        <v>0</v>
      </c>
      <c r="R121" s="2">
        <v>1.9000000000000001E-5</v>
      </c>
      <c r="T121" s="12">
        <v>2</v>
      </c>
      <c r="U121" s="7"/>
      <c r="V121" s="7"/>
      <c r="W121" s="8"/>
      <c r="X121" s="9"/>
      <c r="Y121" s="9"/>
      <c r="Z121" s="9"/>
      <c r="AA121" s="10"/>
      <c r="AB121" s="11"/>
      <c r="AC121"/>
      <c r="AD121"/>
      <c r="AE121"/>
      <c r="AF121"/>
      <c r="AG121"/>
    </row>
    <row r="122" spans="1:33" x14ac:dyDescent="0.2">
      <c r="A122" s="1" t="s">
        <v>215</v>
      </c>
      <c r="B122" s="5" t="s">
        <v>21</v>
      </c>
      <c r="C122" s="2">
        <v>2.1999999999999999E-5</v>
      </c>
      <c r="D122" s="3">
        <v>7.0800000000000004E-3</v>
      </c>
      <c r="E122" s="11" t="s">
        <v>168</v>
      </c>
      <c r="F122" s="2">
        <v>0.1875</v>
      </c>
      <c r="G122" s="2">
        <v>0</v>
      </c>
      <c r="H122" s="11"/>
      <c r="I122" s="2"/>
      <c r="J122" s="2">
        <v>0</v>
      </c>
      <c r="K122" s="12"/>
      <c r="M122" s="3"/>
      <c r="N122" s="2">
        <v>0</v>
      </c>
      <c r="O122" s="2">
        <v>0</v>
      </c>
      <c r="P122" s="6">
        <v>0</v>
      </c>
      <c r="Q122" s="6">
        <v>0</v>
      </c>
      <c r="R122" s="2">
        <v>3.9999999999999998E-6</v>
      </c>
      <c r="T122" s="12">
        <v>2</v>
      </c>
      <c r="U122" s="7"/>
      <c r="V122" s="7"/>
      <c r="W122" s="8"/>
      <c r="X122" s="9"/>
      <c r="Y122" s="9"/>
      <c r="Z122" s="9"/>
      <c r="AA122" s="10"/>
      <c r="AB122" s="11"/>
      <c r="AC122"/>
      <c r="AD122"/>
      <c r="AE122"/>
      <c r="AF122"/>
      <c r="AG122"/>
    </row>
    <row r="123" spans="1:33" x14ac:dyDescent="0.2">
      <c r="A123" s="1" t="s">
        <v>215</v>
      </c>
      <c r="B123" s="5" t="s">
        <v>21</v>
      </c>
      <c r="C123" s="2">
        <v>1E-4</v>
      </c>
      <c r="D123" s="3">
        <v>3.1864999999999997E-2</v>
      </c>
      <c r="E123" s="11" t="s">
        <v>168</v>
      </c>
      <c r="F123" s="2">
        <v>0.1875</v>
      </c>
      <c r="G123" s="2">
        <v>0</v>
      </c>
      <c r="H123" s="11"/>
      <c r="I123" s="2"/>
      <c r="J123" s="2">
        <v>0</v>
      </c>
      <c r="K123" s="12"/>
      <c r="M123" s="3"/>
      <c r="N123" s="2">
        <v>0</v>
      </c>
      <c r="O123" s="2">
        <v>0</v>
      </c>
      <c r="P123" s="6">
        <v>0</v>
      </c>
      <c r="Q123" s="6">
        <v>0</v>
      </c>
      <c r="R123" s="2">
        <v>1.9000000000000001E-5</v>
      </c>
      <c r="T123" s="12">
        <v>2</v>
      </c>
      <c r="U123" s="7"/>
      <c r="V123" s="7"/>
      <c r="W123" s="8"/>
      <c r="X123" s="9"/>
      <c r="Y123" s="9"/>
      <c r="Z123" s="9"/>
      <c r="AA123" s="10"/>
      <c r="AB123" s="11"/>
      <c r="AC123"/>
      <c r="AD123"/>
      <c r="AE123"/>
      <c r="AF123"/>
      <c r="AG123"/>
    </row>
    <row r="124" spans="1:33" x14ac:dyDescent="0.2">
      <c r="A124" s="1" t="s">
        <v>215</v>
      </c>
      <c r="B124" s="5" t="s">
        <v>21</v>
      </c>
      <c r="C124" s="2">
        <v>6.7000000000000002E-5</v>
      </c>
      <c r="D124" s="3">
        <v>2.1243999999999999E-2</v>
      </c>
      <c r="E124" s="11" t="s">
        <v>168</v>
      </c>
      <c r="F124" s="2">
        <v>0.1875</v>
      </c>
      <c r="G124" s="2">
        <v>0</v>
      </c>
      <c r="H124" s="11"/>
      <c r="I124" s="2"/>
      <c r="J124" s="2">
        <v>0</v>
      </c>
      <c r="K124" s="12"/>
      <c r="M124" s="3"/>
      <c r="N124" s="2">
        <v>0</v>
      </c>
      <c r="O124" s="2">
        <v>0</v>
      </c>
      <c r="P124" s="6">
        <v>0</v>
      </c>
      <c r="Q124" s="6">
        <v>0</v>
      </c>
      <c r="R124" s="2">
        <v>1.2999999999999999E-5</v>
      </c>
      <c r="T124" s="12">
        <v>2</v>
      </c>
      <c r="U124" s="7"/>
      <c r="V124" s="7"/>
      <c r="W124" s="8"/>
      <c r="X124" s="9"/>
      <c r="Y124" s="9"/>
      <c r="Z124" s="9"/>
      <c r="AA124" s="10"/>
      <c r="AB124" s="11"/>
      <c r="AC124"/>
      <c r="AD124"/>
      <c r="AE124"/>
      <c r="AF124"/>
      <c r="AG124"/>
    </row>
    <row r="125" spans="1:33" x14ac:dyDescent="0.2">
      <c r="A125" s="1" t="s">
        <v>215</v>
      </c>
      <c r="B125" s="5" t="s">
        <v>21</v>
      </c>
      <c r="C125" s="2">
        <v>2.1999999999999999E-5</v>
      </c>
      <c r="D125" s="3">
        <v>7.0800000000000004E-3</v>
      </c>
      <c r="E125" s="11" t="s">
        <v>168</v>
      </c>
      <c r="F125" s="2">
        <v>0.1875</v>
      </c>
      <c r="G125" s="2">
        <v>0</v>
      </c>
      <c r="H125" s="11"/>
      <c r="I125" s="2"/>
      <c r="J125" s="2">
        <v>0</v>
      </c>
      <c r="K125" s="12"/>
      <c r="M125" s="3"/>
      <c r="N125" s="2">
        <v>0</v>
      </c>
      <c r="O125" s="2">
        <v>0</v>
      </c>
      <c r="P125" s="6">
        <v>0</v>
      </c>
      <c r="Q125" s="6">
        <v>0</v>
      </c>
      <c r="R125" s="2">
        <v>3.9999999999999998E-6</v>
      </c>
      <c r="T125" s="12">
        <v>2</v>
      </c>
      <c r="U125" s="7"/>
      <c r="V125" s="7"/>
      <c r="W125" s="8"/>
      <c r="X125" s="9"/>
      <c r="Y125" s="9"/>
      <c r="Z125" s="9"/>
      <c r="AA125" s="10"/>
      <c r="AB125" s="11"/>
      <c r="AC125"/>
      <c r="AD125"/>
      <c r="AE125"/>
      <c r="AF125"/>
      <c r="AG125"/>
    </row>
    <row r="126" spans="1:33" x14ac:dyDescent="0.2">
      <c r="A126" s="1" t="s">
        <v>215</v>
      </c>
      <c r="B126" s="5" t="s">
        <v>21</v>
      </c>
      <c r="C126" s="2">
        <v>1E-4</v>
      </c>
      <c r="D126" s="3">
        <v>3.1864999999999997E-2</v>
      </c>
      <c r="E126" s="11" t="s">
        <v>168</v>
      </c>
      <c r="F126" s="2">
        <v>0.1875</v>
      </c>
      <c r="G126" s="2">
        <v>0</v>
      </c>
      <c r="H126" s="11"/>
      <c r="I126" s="2"/>
      <c r="J126" s="2">
        <v>0</v>
      </c>
      <c r="K126" s="12"/>
      <c r="M126" s="3"/>
      <c r="N126" s="2">
        <v>0</v>
      </c>
      <c r="O126" s="2">
        <v>0</v>
      </c>
      <c r="P126" s="6">
        <v>0</v>
      </c>
      <c r="Q126" s="6">
        <v>0</v>
      </c>
      <c r="R126" s="2">
        <v>1.9000000000000001E-5</v>
      </c>
      <c r="T126" s="12">
        <v>2</v>
      </c>
      <c r="U126" s="7"/>
      <c r="V126" s="7"/>
      <c r="W126" s="8"/>
      <c r="X126" s="9"/>
      <c r="Y126" s="9"/>
      <c r="Z126" s="9"/>
      <c r="AA126" s="10"/>
      <c r="AB126" s="11"/>
      <c r="AC126"/>
      <c r="AD126"/>
      <c r="AE126"/>
      <c r="AF126"/>
      <c r="AG126"/>
    </row>
    <row r="127" spans="1:33" x14ac:dyDescent="0.2">
      <c r="A127" s="1" t="s">
        <v>215</v>
      </c>
      <c r="B127" s="5" t="s">
        <v>21</v>
      </c>
      <c r="C127" s="2">
        <v>2.1999999999999999E-5</v>
      </c>
      <c r="D127" s="3">
        <v>7.0800000000000004E-3</v>
      </c>
      <c r="E127" s="11" t="s">
        <v>168</v>
      </c>
      <c r="F127" s="2">
        <v>0.1875</v>
      </c>
      <c r="G127" s="2">
        <v>0</v>
      </c>
      <c r="H127" s="11"/>
      <c r="I127" s="2"/>
      <c r="J127" s="2">
        <v>0</v>
      </c>
      <c r="K127" s="12"/>
      <c r="M127" s="3"/>
      <c r="N127" s="2">
        <v>0</v>
      </c>
      <c r="O127" s="2">
        <v>0</v>
      </c>
      <c r="P127" s="6">
        <v>0</v>
      </c>
      <c r="Q127" s="6">
        <v>0</v>
      </c>
      <c r="R127" s="2">
        <v>3.9999999999999998E-6</v>
      </c>
      <c r="T127" s="12">
        <v>2</v>
      </c>
      <c r="U127" s="7"/>
      <c r="V127" s="7"/>
      <c r="W127" s="8"/>
      <c r="X127" s="9"/>
      <c r="Y127" s="9"/>
      <c r="Z127" s="9"/>
      <c r="AA127" s="10"/>
      <c r="AB127" s="11"/>
      <c r="AC127"/>
      <c r="AD127"/>
      <c r="AE127"/>
      <c r="AF127"/>
      <c r="AG127"/>
    </row>
    <row r="128" spans="1:33" x14ac:dyDescent="0.2">
      <c r="A128" s="1" t="s">
        <v>215</v>
      </c>
      <c r="B128" s="5" t="s">
        <v>21</v>
      </c>
      <c r="C128" s="2">
        <v>7.9999999999999996E-6</v>
      </c>
      <c r="D128" s="3">
        <v>2.3900000000000002E-3</v>
      </c>
      <c r="E128" s="11" t="s">
        <v>168</v>
      </c>
      <c r="F128" s="2">
        <v>0.1875</v>
      </c>
      <c r="G128" s="2">
        <v>0</v>
      </c>
      <c r="H128" s="11"/>
      <c r="I128" s="2"/>
      <c r="J128" s="2">
        <v>0</v>
      </c>
      <c r="K128" s="12"/>
      <c r="M128" s="3"/>
      <c r="N128" s="2">
        <v>0</v>
      </c>
      <c r="O128" s="2">
        <v>0</v>
      </c>
      <c r="P128" s="6">
        <v>0</v>
      </c>
      <c r="Q128" s="6">
        <v>0</v>
      </c>
      <c r="R128" s="2">
        <v>9.9999999999999995E-7</v>
      </c>
      <c r="T128" s="12">
        <v>2</v>
      </c>
      <c r="U128" s="7"/>
      <c r="V128" s="7"/>
      <c r="W128" s="8"/>
      <c r="X128" s="9"/>
      <c r="Y128" s="9"/>
      <c r="Z128" s="9"/>
      <c r="AA128" s="10"/>
      <c r="AB128" s="11"/>
      <c r="AC128"/>
      <c r="AD128"/>
      <c r="AE128"/>
      <c r="AF128"/>
      <c r="AG128"/>
    </row>
    <row r="129" spans="1:33" x14ac:dyDescent="0.2">
      <c r="A129" s="1" t="s">
        <v>216</v>
      </c>
      <c r="B129" s="5" t="s">
        <v>21</v>
      </c>
      <c r="C129" s="2">
        <v>6.7000000000000002E-5</v>
      </c>
      <c r="D129" s="3">
        <v>2.1243999999999999E-2</v>
      </c>
      <c r="E129" s="11" t="s">
        <v>168</v>
      </c>
      <c r="F129" s="2">
        <v>0.1875</v>
      </c>
      <c r="G129" s="2">
        <v>0</v>
      </c>
      <c r="H129" s="11"/>
      <c r="I129" s="2"/>
      <c r="J129" s="2">
        <v>0</v>
      </c>
      <c r="K129" s="12"/>
      <c r="M129" s="3"/>
      <c r="N129" s="2">
        <v>0</v>
      </c>
      <c r="O129" s="2">
        <v>0</v>
      </c>
      <c r="P129" s="6">
        <v>0</v>
      </c>
      <c r="Q129" s="6">
        <v>0</v>
      </c>
      <c r="R129" s="2">
        <v>1.2999999999999999E-5</v>
      </c>
      <c r="T129" s="12">
        <v>2</v>
      </c>
      <c r="U129" s="7"/>
      <c r="V129" s="7"/>
      <c r="W129" s="8"/>
      <c r="X129" s="9"/>
      <c r="Y129" s="9"/>
      <c r="Z129" s="9"/>
      <c r="AA129" s="10"/>
      <c r="AB129" s="11"/>
      <c r="AC129"/>
      <c r="AD129"/>
      <c r="AE129"/>
      <c r="AF129"/>
      <c r="AG129"/>
    </row>
    <row r="130" spans="1:33" x14ac:dyDescent="0.2">
      <c r="A130" s="1" t="s">
        <v>216</v>
      </c>
      <c r="B130" s="5" t="s">
        <v>21</v>
      </c>
      <c r="C130" s="2">
        <v>2.1999999999999999E-5</v>
      </c>
      <c r="D130" s="3">
        <v>7.0800000000000004E-3</v>
      </c>
      <c r="E130" s="11" t="s">
        <v>168</v>
      </c>
      <c r="F130" s="2">
        <v>0.1875</v>
      </c>
      <c r="G130" s="2">
        <v>0</v>
      </c>
      <c r="H130" s="11"/>
      <c r="I130" s="2"/>
      <c r="J130" s="2">
        <v>0</v>
      </c>
      <c r="K130" s="12"/>
      <c r="M130" s="3"/>
      <c r="N130" s="2">
        <v>0</v>
      </c>
      <c r="O130" s="2">
        <v>0</v>
      </c>
      <c r="P130" s="6">
        <v>0</v>
      </c>
      <c r="Q130" s="6">
        <v>0</v>
      </c>
      <c r="R130" s="2">
        <v>3.9999999999999998E-6</v>
      </c>
      <c r="T130" s="12">
        <v>2</v>
      </c>
      <c r="U130" s="7"/>
      <c r="V130" s="7"/>
      <c r="W130" s="8"/>
      <c r="X130" s="9"/>
      <c r="Y130" s="9"/>
      <c r="Z130" s="9"/>
      <c r="AA130" s="10"/>
      <c r="AB130" s="11"/>
      <c r="AC130"/>
      <c r="AD130"/>
      <c r="AE130"/>
      <c r="AF130"/>
      <c r="AG130"/>
    </row>
    <row r="131" spans="1:33" x14ac:dyDescent="0.2">
      <c r="A131" s="1" t="s">
        <v>216</v>
      </c>
      <c r="B131" s="5" t="s">
        <v>21</v>
      </c>
      <c r="C131" s="2">
        <v>1E-4</v>
      </c>
      <c r="D131" s="3">
        <v>3.1864000000000003E-2</v>
      </c>
      <c r="E131" s="11" t="s">
        <v>168</v>
      </c>
      <c r="F131" s="2">
        <v>0.1875</v>
      </c>
      <c r="G131" s="2">
        <v>0</v>
      </c>
      <c r="H131" s="11"/>
      <c r="I131" s="2"/>
      <c r="J131" s="2">
        <v>0</v>
      </c>
      <c r="K131" s="12"/>
      <c r="M131" s="3"/>
      <c r="N131" s="2">
        <v>0</v>
      </c>
      <c r="O131" s="2">
        <v>0</v>
      </c>
      <c r="P131" s="6">
        <v>0</v>
      </c>
      <c r="Q131" s="6">
        <v>0</v>
      </c>
      <c r="R131" s="2">
        <v>1.9000000000000001E-5</v>
      </c>
      <c r="T131" s="12">
        <v>2</v>
      </c>
      <c r="U131" s="7"/>
      <c r="V131" s="7"/>
      <c r="W131" s="8"/>
      <c r="X131" s="9"/>
      <c r="Y131" s="9"/>
      <c r="Z131" s="9"/>
      <c r="AA131" s="10"/>
      <c r="AB131" s="11"/>
      <c r="AC131"/>
      <c r="AD131"/>
      <c r="AE131"/>
      <c r="AF131"/>
      <c r="AG131"/>
    </row>
    <row r="132" spans="1:33" x14ac:dyDescent="0.2">
      <c r="A132" s="1" t="s">
        <v>216</v>
      </c>
      <c r="B132" s="5" t="s">
        <v>21</v>
      </c>
      <c r="C132" s="2">
        <v>6.7000000000000002E-5</v>
      </c>
      <c r="D132" s="3">
        <v>2.1243999999999999E-2</v>
      </c>
      <c r="E132" s="11" t="s">
        <v>168</v>
      </c>
      <c r="F132" s="2">
        <v>0.1875</v>
      </c>
      <c r="G132" s="2">
        <v>0</v>
      </c>
      <c r="H132" s="11"/>
      <c r="I132" s="2"/>
      <c r="J132" s="2">
        <v>0</v>
      </c>
      <c r="K132" s="12"/>
      <c r="M132" s="3"/>
      <c r="N132" s="2">
        <v>0</v>
      </c>
      <c r="O132" s="2">
        <v>0</v>
      </c>
      <c r="P132" s="6">
        <v>0</v>
      </c>
      <c r="Q132" s="6">
        <v>0</v>
      </c>
      <c r="R132" s="2">
        <v>1.2999999999999999E-5</v>
      </c>
      <c r="T132" s="12">
        <v>2</v>
      </c>
      <c r="U132" s="7"/>
      <c r="V132" s="7"/>
      <c r="W132" s="8"/>
      <c r="X132" s="9"/>
      <c r="Y132" s="9"/>
      <c r="Z132" s="9"/>
      <c r="AA132" s="10"/>
      <c r="AB132" s="11"/>
      <c r="AC132"/>
      <c r="AD132"/>
      <c r="AE132"/>
      <c r="AF132"/>
      <c r="AG132"/>
    </row>
    <row r="133" spans="1:33" x14ac:dyDescent="0.2">
      <c r="A133" s="1" t="s">
        <v>216</v>
      </c>
      <c r="B133" s="5" t="s">
        <v>21</v>
      </c>
      <c r="C133" s="2">
        <v>2.1999999999999999E-5</v>
      </c>
      <c r="D133" s="3">
        <v>7.0800000000000004E-3</v>
      </c>
      <c r="E133" s="11" t="s">
        <v>168</v>
      </c>
      <c r="F133" s="2">
        <v>0.1875</v>
      </c>
      <c r="G133" s="2">
        <v>0</v>
      </c>
      <c r="H133" s="11"/>
      <c r="I133" s="2"/>
      <c r="J133" s="2">
        <v>0</v>
      </c>
      <c r="K133" s="12"/>
      <c r="M133" s="3"/>
      <c r="N133" s="2">
        <v>0</v>
      </c>
      <c r="O133" s="2">
        <v>0</v>
      </c>
      <c r="P133" s="6">
        <v>0</v>
      </c>
      <c r="Q133" s="6">
        <v>0</v>
      </c>
      <c r="R133" s="2">
        <v>3.9999999999999998E-6</v>
      </c>
      <c r="T133" s="12">
        <v>2</v>
      </c>
      <c r="U133" s="7"/>
      <c r="V133" s="7"/>
      <c r="W133" s="8"/>
      <c r="X133" s="9"/>
      <c r="Y133" s="9"/>
      <c r="Z133" s="9"/>
      <c r="AA133" s="10"/>
      <c r="AB133" s="11"/>
      <c r="AC133"/>
      <c r="AD133"/>
      <c r="AE133"/>
      <c r="AF133"/>
      <c r="AG133"/>
    </row>
    <row r="134" spans="1:33" x14ac:dyDescent="0.2">
      <c r="A134" s="1" t="s">
        <v>216</v>
      </c>
      <c r="B134" s="5" t="s">
        <v>21</v>
      </c>
      <c r="C134" s="2">
        <v>2.1999999999999999E-5</v>
      </c>
      <c r="D134" s="3">
        <v>7.0800000000000004E-3</v>
      </c>
      <c r="E134" s="11" t="s">
        <v>168</v>
      </c>
      <c r="F134" s="2">
        <v>0.1875</v>
      </c>
      <c r="G134" s="2">
        <v>0</v>
      </c>
      <c r="H134" s="11"/>
      <c r="I134" s="2"/>
      <c r="J134" s="2">
        <v>0</v>
      </c>
      <c r="K134" s="12"/>
      <c r="M134" s="3"/>
      <c r="N134" s="2">
        <v>0</v>
      </c>
      <c r="O134" s="2">
        <v>0</v>
      </c>
      <c r="P134" s="6">
        <v>0</v>
      </c>
      <c r="Q134" s="6">
        <v>0</v>
      </c>
      <c r="R134" s="2">
        <v>3.9999999999999998E-6</v>
      </c>
      <c r="T134" s="12">
        <v>2</v>
      </c>
      <c r="U134" s="7"/>
      <c r="V134" s="7"/>
      <c r="W134" s="8"/>
      <c r="X134" s="9"/>
      <c r="Y134" s="9"/>
      <c r="Z134" s="9"/>
      <c r="AA134" s="10"/>
      <c r="AB134" s="11"/>
      <c r="AC134"/>
      <c r="AD134"/>
      <c r="AE134"/>
      <c r="AF134"/>
      <c r="AG134"/>
    </row>
    <row r="135" spans="1:33" x14ac:dyDescent="0.2">
      <c r="A135" s="1" t="s">
        <v>216</v>
      </c>
      <c r="B135" s="5" t="s">
        <v>21</v>
      </c>
      <c r="C135" s="2">
        <v>1E-4</v>
      </c>
      <c r="D135" s="3">
        <v>3.1864999999999997E-2</v>
      </c>
      <c r="E135" s="11" t="s">
        <v>168</v>
      </c>
      <c r="F135" s="2">
        <v>0.1875</v>
      </c>
      <c r="G135" s="2">
        <v>0</v>
      </c>
      <c r="H135" s="11"/>
      <c r="I135" s="2"/>
      <c r="J135" s="2">
        <v>0</v>
      </c>
      <c r="K135" s="12"/>
      <c r="M135" s="3"/>
      <c r="N135" s="2">
        <v>0</v>
      </c>
      <c r="O135" s="2">
        <v>0</v>
      </c>
      <c r="P135" s="6">
        <v>0</v>
      </c>
      <c r="Q135" s="6">
        <v>0</v>
      </c>
      <c r="R135" s="2">
        <v>1.9000000000000001E-5</v>
      </c>
      <c r="T135" s="12">
        <v>2</v>
      </c>
      <c r="U135" s="7"/>
      <c r="V135" s="7"/>
      <c r="W135" s="8"/>
      <c r="X135" s="9"/>
      <c r="Y135" s="9"/>
      <c r="Z135" s="9"/>
      <c r="AA135" s="10"/>
      <c r="AB135" s="11"/>
      <c r="AC135"/>
      <c r="AD135"/>
      <c r="AE135"/>
      <c r="AF135"/>
      <c r="AG135"/>
    </row>
    <row r="136" spans="1:33" x14ac:dyDescent="0.2">
      <c r="A136" s="1" t="s">
        <v>216</v>
      </c>
      <c r="B136" s="5" t="s">
        <v>21</v>
      </c>
      <c r="C136" s="2">
        <v>1E-4</v>
      </c>
      <c r="D136" s="3">
        <v>3.1864999999999997E-2</v>
      </c>
      <c r="E136" s="11" t="s">
        <v>168</v>
      </c>
      <c r="F136" s="2">
        <v>0.1875</v>
      </c>
      <c r="G136" s="2">
        <v>0</v>
      </c>
      <c r="H136" s="11"/>
      <c r="I136" s="2"/>
      <c r="J136" s="2">
        <v>0</v>
      </c>
      <c r="K136" s="12"/>
      <c r="M136" s="3"/>
      <c r="N136" s="2">
        <v>0</v>
      </c>
      <c r="O136" s="2">
        <v>0</v>
      </c>
      <c r="P136" s="6">
        <v>0</v>
      </c>
      <c r="Q136" s="6">
        <v>0</v>
      </c>
      <c r="R136" s="2">
        <v>1.9000000000000001E-5</v>
      </c>
      <c r="T136" s="12">
        <v>2</v>
      </c>
      <c r="U136" s="7"/>
      <c r="V136" s="7"/>
      <c r="W136" s="8"/>
      <c r="X136" s="9"/>
      <c r="Y136" s="9"/>
      <c r="Z136" s="9"/>
      <c r="AA136" s="10"/>
      <c r="AB136" s="11"/>
      <c r="AC136"/>
      <c r="AD136"/>
      <c r="AE136"/>
      <c r="AF136"/>
      <c r="AG136"/>
    </row>
    <row r="137" spans="1:33" x14ac:dyDescent="0.2">
      <c r="A137" s="1" t="s">
        <v>216</v>
      </c>
      <c r="B137" s="5" t="s">
        <v>21</v>
      </c>
      <c r="C137" s="2">
        <v>7.9999999999999996E-6</v>
      </c>
      <c r="D137" s="3">
        <v>2.3900000000000002E-3</v>
      </c>
      <c r="E137" s="11" t="s">
        <v>168</v>
      </c>
      <c r="F137" s="2">
        <v>0.1875</v>
      </c>
      <c r="G137" s="2">
        <v>0</v>
      </c>
      <c r="H137" s="11"/>
      <c r="I137" s="2"/>
      <c r="J137" s="2">
        <v>0</v>
      </c>
      <c r="K137" s="12"/>
      <c r="M137" s="3"/>
      <c r="N137" s="2">
        <v>0</v>
      </c>
      <c r="O137" s="2">
        <v>0</v>
      </c>
      <c r="P137" s="6">
        <v>0</v>
      </c>
      <c r="Q137" s="6">
        <v>0</v>
      </c>
      <c r="R137" s="2">
        <v>9.9999999999999995E-7</v>
      </c>
      <c r="T137" s="12">
        <v>2</v>
      </c>
      <c r="U137" s="7"/>
      <c r="V137" s="7"/>
      <c r="W137" s="8"/>
      <c r="X137" s="9"/>
      <c r="Y137" s="9"/>
      <c r="Z137" s="9"/>
      <c r="AA137" s="10"/>
      <c r="AB137" s="11"/>
      <c r="AC137"/>
      <c r="AD137"/>
      <c r="AE137"/>
      <c r="AF137"/>
      <c r="AG137"/>
    </row>
    <row r="138" spans="1:33" x14ac:dyDescent="0.2">
      <c r="A138" s="1" t="s">
        <v>217</v>
      </c>
      <c r="B138" s="5" t="s">
        <v>21</v>
      </c>
      <c r="C138" s="2">
        <v>5.0000000000000001E-3</v>
      </c>
      <c r="D138" s="3">
        <v>1.5932500000000001</v>
      </c>
      <c r="E138" s="11" t="s">
        <v>168</v>
      </c>
      <c r="F138" s="2">
        <v>0.1875</v>
      </c>
      <c r="G138" s="2">
        <v>0</v>
      </c>
      <c r="H138" s="11"/>
      <c r="I138" s="2"/>
      <c r="J138" s="2">
        <v>0</v>
      </c>
      <c r="K138" s="12"/>
      <c r="M138" s="3"/>
      <c r="N138" s="2">
        <v>0</v>
      </c>
      <c r="O138" s="2">
        <v>0</v>
      </c>
      <c r="P138" s="6">
        <v>0</v>
      </c>
      <c r="Q138" s="6">
        <v>0</v>
      </c>
      <c r="R138" s="2">
        <v>9.3800000000000003E-4</v>
      </c>
      <c r="T138" s="12">
        <v>2</v>
      </c>
      <c r="U138" s="7"/>
      <c r="V138" s="7"/>
      <c r="W138" s="8"/>
      <c r="X138" s="9"/>
      <c r="Y138" s="9"/>
      <c r="Z138" s="9"/>
      <c r="AA138" s="10"/>
      <c r="AB138" s="11"/>
      <c r="AC138"/>
      <c r="AD138"/>
      <c r="AE138"/>
      <c r="AF138"/>
      <c r="AG138"/>
    </row>
    <row r="139" spans="1:33" x14ac:dyDescent="0.2">
      <c r="A139" s="1" t="s">
        <v>210</v>
      </c>
      <c r="B139" s="5" t="s">
        <v>21</v>
      </c>
      <c r="C139" s="2">
        <v>2.0000000000000001E-4</v>
      </c>
      <c r="D139" s="3">
        <v>6.3729999999999995E-2</v>
      </c>
      <c r="E139" s="11" t="s">
        <v>168</v>
      </c>
      <c r="F139" s="2">
        <v>0.1875</v>
      </c>
      <c r="G139" s="2">
        <v>0</v>
      </c>
      <c r="H139" s="11"/>
      <c r="I139" s="2"/>
      <c r="J139" s="2">
        <v>0</v>
      </c>
      <c r="K139" s="12"/>
      <c r="M139" s="3"/>
      <c r="N139" s="2">
        <v>0</v>
      </c>
      <c r="O139" s="2">
        <v>0</v>
      </c>
      <c r="P139" s="6">
        <v>0</v>
      </c>
      <c r="Q139" s="6">
        <v>0</v>
      </c>
      <c r="R139" s="2">
        <v>3.8000000000000002E-5</v>
      </c>
      <c r="T139" s="12">
        <v>2</v>
      </c>
      <c r="U139" s="7"/>
      <c r="V139" s="7"/>
      <c r="W139" s="8"/>
      <c r="X139" s="9"/>
      <c r="Y139" s="9"/>
      <c r="Z139" s="9"/>
      <c r="AA139" s="10"/>
      <c r="AB139" s="11"/>
      <c r="AC139"/>
      <c r="AD139"/>
      <c r="AE139"/>
      <c r="AF139"/>
      <c r="AG139"/>
    </row>
    <row r="140" spans="1:33" x14ac:dyDescent="0.2">
      <c r="A140" s="1" t="s">
        <v>210</v>
      </c>
      <c r="B140" s="5" t="s">
        <v>21</v>
      </c>
      <c r="C140" s="2">
        <v>5.9999999999999995E-4</v>
      </c>
      <c r="D140" s="3">
        <v>0.19119</v>
      </c>
      <c r="E140" s="11" t="s">
        <v>168</v>
      </c>
      <c r="F140" s="2">
        <v>0.1875</v>
      </c>
      <c r="G140" s="2">
        <v>0</v>
      </c>
      <c r="H140" s="11"/>
      <c r="I140" s="2"/>
      <c r="J140" s="2">
        <v>0</v>
      </c>
      <c r="K140" s="12"/>
      <c r="M140" s="3"/>
      <c r="N140" s="2">
        <v>0</v>
      </c>
      <c r="O140" s="2">
        <v>0</v>
      </c>
      <c r="P140" s="6">
        <v>0</v>
      </c>
      <c r="Q140" s="6">
        <v>0</v>
      </c>
      <c r="R140" s="2">
        <v>1.13E-4</v>
      </c>
      <c r="T140" s="12">
        <v>2</v>
      </c>
      <c r="U140" s="7"/>
      <c r="V140" s="7"/>
      <c r="W140" s="8"/>
      <c r="X140" s="9"/>
      <c r="Y140" s="9"/>
      <c r="Z140" s="9"/>
      <c r="AA140" s="10"/>
      <c r="AB140" s="11"/>
      <c r="AC140"/>
      <c r="AD140"/>
      <c r="AE140"/>
      <c r="AF140"/>
      <c r="AG140"/>
    </row>
    <row r="141" spans="1:33" x14ac:dyDescent="0.2">
      <c r="A141" s="1" t="s">
        <v>210</v>
      </c>
      <c r="B141" s="5" t="s">
        <v>21</v>
      </c>
      <c r="C141" s="2">
        <v>2.0000000000000001E-4</v>
      </c>
      <c r="D141" s="3">
        <v>6.3729999999999995E-2</v>
      </c>
      <c r="E141" s="11" t="s">
        <v>168</v>
      </c>
      <c r="F141" s="2">
        <v>0.1875</v>
      </c>
      <c r="G141" s="2">
        <v>0</v>
      </c>
      <c r="H141" s="11"/>
      <c r="I141" s="2"/>
      <c r="J141" s="2">
        <v>0</v>
      </c>
      <c r="K141" s="12"/>
      <c r="M141" s="3"/>
      <c r="N141" s="2">
        <v>0</v>
      </c>
      <c r="O141" s="2">
        <v>0</v>
      </c>
      <c r="P141" s="6">
        <v>0</v>
      </c>
      <c r="Q141" s="6">
        <v>0</v>
      </c>
      <c r="R141" s="2">
        <v>3.8000000000000002E-5</v>
      </c>
      <c r="T141" s="12">
        <v>2</v>
      </c>
      <c r="U141" s="7"/>
      <c r="V141" s="7"/>
      <c r="W141" s="8"/>
      <c r="X141" s="9"/>
      <c r="Y141" s="9"/>
      <c r="Z141" s="9"/>
      <c r="AA141" s="10"/>
      <c r="AB141" s="11"/>
      <c r="AC141"/>
      <c r="AD141"/>
      <c r="AE141"/>
      <c r="AF141"/>
      <c r="AG141"/>
    </row>
    <row r="142" spans="1:33" x14ac:dyDescent="0.2">
      <c r="A142" s="1" t="s">
        <v>210</v>
      </c>
      <c r="B142" s="5" t="s">
        <v>21</v>
      </c>
      <c r="C142" s="2">
        <v>2.0000000000000001E-4</v>
      </c>
      <c r="D142" s="3">
        <v>6.3729999999999995E-2</v>
      </c>
      <c r="E142" s="11" t="s">
        <v>168</v>
      </c>
      <c r="F142" s="2">
        <v>0.1875</v>
      </c>
      <c r="G142" s="2">
        <v>0</v>
      </c>
      <c r="H142" s="11"/>
      <c r="I142" s="2"/>
      <c r="J142" s="2">
        <v>0</v>
      </c>
      <c r="K142" s="12"/>
      <c r="M142" s="3"/>
      <c r="N142" s="2">
        <v>0</v>
      </c>
      <c r="O142" s="2">
        <v>0</v>
      </c>
      <c r="P142" s="6">
        <v>0</v>
      </c>
      <c r="Q142" s="6">
        <v>0</v>
      </c>
      <c r="R142" s="2">
        <v>3.8000000000000002E-5</v>
      </c>
      <c r="T142" s="12">
        <v>2</v>
      </c>
      <c r="U142" s="7"/>
      <c r="V142" s="7"/>
      <c r="W142" s="8"/>
      <c r="X142" s="9"/>
      <c r="Y142" s="9"/>
      <c r="Z142" s="9"/>
      <c r="AA142" s="10"/>
      <c r="AB142" s="11"/>
      <c r="AC142"/>
      <c r="AD142"/>
      <c r="AE142"/>
      <c r="AF142"/>
      <c r="AG142"/>
    </row>
    <row r="143" spans="1:33" x14ac:dyDescent="0.2">
      <c r="A143" s="1" t="s">
        <v>210</v>
      </c>
      <c r="B143" s="5" t="s">
        <v>21</v>
      </c>
      <c r="C143" s="2">
        <v>8.9999999999999998E-4</v>
      </c>
      <c r="D143" s="3">
        <v>0.28678399999999998</v>
      </c>
      <c r="E143" s="11" t="s">
        <v>168</v>
      </c>
      <c r="F143" s="2">
        <v>0.1875</v>
      </c>
      <c r="G143" s="2">
        <v>0</v>
      </c>
      <c r="H143" s="11"/>
      <c r="I143" s="2"/>
      <c r="J143" s="2">
        <v>0</v>
      </c>
      <c r="K143" s="12"/>
      <c r="M143" s="3"/>
      <c r="N143" s="2">
        <v>0</v>
      </c>
      <c r="O143" s="2">
        <v>0</v>
      </c>
      <c r="P143" s="6">
        <v>0</v>
      </c>
      <c r="Q143" s="6">
        <v>0</v>
      </c>
      <c r="R143" s="2">
        <v>1.6899999999999999E-4</v>
      </c>
      <c r="T143" s="12">
        <v>2</v>
      </c>
      <c r="U143" s="7"/>
      <c r="V143" s="7"/>
      <c r="W143" s="8"/>
      <c r="X143" s="9"/>
      <c r="Y143" s="9"/>
      <c r="Z143" s="9"/>
      <c r="AA143" s="10"/>
      <c r="AB143" s="11"/>
      <c r="AC143"/>
      <c r="AD143"/>
      <c r="AE143"/>
      <c r="AF143"/>
      <c r="AG143"/>
    </row>
    <row r="144" spans="1:33" x14ac:dyDescent="0.2">
      <c r="A144" s="1" t="s">
        <v>210</v>
      </c>
      <c r="B144" s="5" t="s">
        <v>21</v>
      </c>
      <c r="C144" s="2">
        <v>8.9999999999999998E-4</v>
      </c>
      <c r="D144" s="3">
        <v>0.28678500000000001</v>
      </c>
      <c r="E144" s="11" t="s">
        <v>168</v>
      </c>
      <c r="F144" s="2">
        <v>0.1875</v>
      </c>
      <c r="G144" s="2">
        <v>0</v>
      </c>
      <c r="H144" s="11"/>
      <c r="I144" s="2"/>
      <c r="J144" s="2">
        <v>0</v>
      </c>
      <c r="K144" s="12"/>
      <c r="M144" s="3"/>
      <c r="N144" s="2">
        <v>0</v>
      </c>
      <c r="O144" s="2">
        <v>0</v>
      </c>
      <c r="P144" s="6">
        <v>0</v>
      </c>
      <c r="Q144" s="6">
        <v>0</v>
      </c>
      <c r="R144" s="2">
        <v>1.6899999999999999E-4</v>
      </c>
      <c r="T144" s="12">
        <v>2</v>
      </c>
      <c r="U144" s="7"/>
      <c r="V144" s="7"/>
      <c r="W144" s="8"/>
      <c r="X144" s="9"/>
      <c r="Y144" s="9"/>
      <c r="Z144" s="9"/>
      <c r="AA144" s="10"/>
      <c r="AB144" s="11"/>
      <c r="AC144"/>
      <c r="AD144"/>
      <c r="AE144"/>
      <c r="AF144"/>
      <c r="AG144"/>
    </row>
    <row r="145" spans="1:33" x14ac:dyDescent="0.2">
      <c r="A145" s="1" t="s">
        <v>210</v>
      </c>
      <c r="B145" s="5" t="s">
        <v>21</v>
      </c>
      <c r="C145" s="2">
        <v>8.9999999999999998E-4</v>
      </c>
      <c r="D145" s="3">
        <v>0.28678500000000001</v>
      </c>
      <c r="E145" s="11" t="s">
        <v>168</v>
      </c>
      <c r="F145" s="2">
        <v>0.1875</v>
      </c>
      <c r="G145" s="2">
        <v>0</v>
      </c>
      <c r="H145" s="11"/>
      <c r="I145" s="2"/>
      <c r="J145" s="2">
        <v>0</v>
      </c>
      <c r="K145" s="12"/>
      <c r="M145" s="3"/>
      <c r="N145" s="2">
        <v>0</v>
      </c>
      <c r="O145" s="2">
        <v>0</v>
      </c>
      <c r="P145" s="6">
        <v>0</v>
      </c>
      <c r="Q145" s="6">
        <v>0</v>
      </c>
      <c r="R145" s="2">
        <v>1.6899999999999999E-4</v>
      </c>
      <c r="T145" s="12">
        <v>2</v>
      </c>
      <c r="U145" s="7"/>
      <c r="V145" s="7"/>
      <c r="W145" s="8"/>
      <c r="X145" s="9"/>
      <c r="Y145" s="9"/>
      <c r="Z145" s="9"/>
      <c r="AA145" s="10"/>
      <c r="AB145" s="11"/>
      <c r="AC145"/>
      <c r="AD145"/>
      <c r="AE145"/>
      <c r="AF145"/>
      <c r="AG145"/>
    </row>
    <row r="146" spans="1:33" x14ac:dyDescent="0.2">
      <c r="A146" s="1" t="s">
        <v>210</v>
      </c>
      <c r="B146" s="5" t="s">
        <v>21</v>
      </c>
      <c r="C146" s="2">
        <v>5.9999999999999995E-4</v>
      </c>
      <c r="D146" s="3">
        <v>0.19119</v>
      </c>
      <c r="E146" s="11" t="s">
        <v>168</v>
      </c>
      <c r="F146" s="2">
        <v>0.1875</v>
      </c>
      <c r="G146" s="2">
        <v>0</v>
      </c>
      <c r="H146" s="11"/>
      <c r="I146" s="2"/>
      <c r="J146" s="2">
        <v>0</v>
      </c>
      <c r="K146" s="12"/>
      <c r="M146" s="3"/>
      <c r="N146" s="2">
        <v>0</v>
      </c>
      <c r="O146" s="2">
        <v>0</v>
      </c>
      <c r="P146" s="6">
        <v>0</v>
      </c>
      <c r="Q146" s="6">
        <v>0</v>
      </c>
      <c r="R146" s="2">
        <v>1.13E-4</v>
      </c>
      <c r="T146" s="12">
        <v>2</v>
      </c>
      <c r="U146" s="7"/>
      <c r="V146" s="7"/>
      <c r="W146" s="8"/>
      <c r="X146" s="9"/>
      <c r="Y146" s="9"/>
      <c r="Z146" s="9"/>
      <c r="AA146" s="10"/>
      <c r="AB146" s="11"/>
      <c r="AC146"/>
      <c r="AD146"/>
      <c r="AE146"/>
      <c r="AF146"/>
      <c r="AG146"/>
    </row>
    <row r="147" spans="1:33" x14ac:dyDescent="0.2">
      <c r="A147" s="1" t="s">
        <v>210</v>
      </c>
      <c r="B147" s="5" t="s">
        <v>21</v>
      </c>
      <c r="C147" s="2">
        <v>6.7999999999999999E-5</v>
      </c>
      <c r="D147" s="3">
        <v>2.1509E-2</v>
      </c>
      <c r="E147" s="11" t="s">
        <v>168</v>
      </c>
      <c r="F147" s="2">
        <v>0.1875</v>
      </c>
      <c r="G147" s="2">
        <v>0</v>
      </c>
      <c r="H147" s="11"/>
      <c r="I147" s="2"/>
      <c r="J147" s="2">
        <v>0</v>
      </c>
      <c r="K147" s="12"/>
      <c r="M147" s="3"/>
      <c r="N147" s="2">
        <v>0</v>
      </c>
      <c r="O147" s="2">
        <v>0</v>
      </c>
      <c r="P147" s="6">
        <v>0</v>
      </c>
      <c r="Q147" s="6">
        <v>0</v>
      </c>
      <c r="R147" s="2">
        <v>1.2999999999999999E-5</v>
      </c>
      <c r="T147" s="12">
        <v>2</v>
      </c>
      <c r="U147" s="7"/>
      <c r="V147" s="7"/>
      <c r="W147" s="8"/>
      <c r="X147" s="9"/>
      <c r="Y147" s="9"/>
      <c r="Z147" s="9"/>
      <c r="AA147" s="10"/>
      <c r="AB147" s="11"/>
      <c r="AC147"/>
      <c r="AD147"/>
      <c r="AE147"/>
      <c r="AF147"/>
      <c r="AG147"/>
    </row>
    <row r="148" spans="1:33" ht="38.25" x14ac:dyDescent="0.2">
      <c r="A148" s="1" t="s">
        <v>219</v>
      </c>
      <c r="B148" s="5" t="s">
        <v>21</v>
      </c>
      <c r="C148" s="2">
        <v>0.3</v>
      </c>
      <c r="D148" s="3">
        <v>95.594999999999999</v>
      </c>
      <c r="E148" s="11" t="s">
        <v>154</v>
      </c>
      <c r="F148" s="2">
        <v>0.16666666999999999</v>
      </c>
      <c r="G148" s="2">
        <v>0</v>
      </c>
      <c r="H148" s="11"/>
      <c r="I148" s="2"/>
      <c r="J148" s="2">
        <v>0</v>
      </c>
      <c r="K148" s="12"/>
      <c r="M148" s="3"/>
      <c r="N148" s="2">
        <v>0</v>
      </c>
      <c r="O148" s="2">
        <v>0</v>
      </c>
      <c r="P148" s="6">
        <v>0</v>
      </c>
      <c r="Q148" s="6">
        <v>0</v>
      </c>
      <c r="R148" s="2">
        <v>0.05</v>
      </c>
      <c r="T148" s="12">
        <v>2</v>
      </c>
      <c r="U148" s="7"/>
      <c r="V148" s="7"/>
      <c r="W148" s="8"/>
      <c r="X148" s="9"/>
      <c r="Y148" s="9"/>
      <c r="Z148" s="9"/>
      <c r="AA148" s="10"/>
      <c r="AB148" s="11"/>
      <c r="AC148"/>
      <c r="AD148"/>
      <c r="AE148"/>
      <c r="AF148"/>
      <c r="AG148"/>
    </row>
    <row r="149" spans="1:33" ht="38.25" x14ac:dyDescent="0.2">
      <c r="A149" s="1" t="s">
        <v>219</v>
      </c>
      <c r="B149" s="5" t="s">
        <v>21</v>
      </c>
      <c r="C149" s="2">
        <v>7.4999999999999997E-2</v>
      </c>
      <c r="D149" s="3">
        <v>23.89875</v>
      </c>
      <c r="E149" s="11" t="s">
        <v>72</v>
      </c>
      <c r="F149" s="2">
        <v>0.16666666999999999</v>
      </c>
      <c r="G149" s="2">
        <v>0</v>
      </c>
      <c r="H149" s="11"/>
      <c r="I149" s="2"/>
      <c r="J149" s="2">
        <v>0</v>
      </c>
      <c r="K149" s="12"/>
      <c r="M149" s="3"/>
      <c r="N149" s="2">
        <v>0</v>
      </c>
      <c r="O149" s="2">
        <v>0</v>
      </c>
      <c r="P149" s="6">
        <v>0</v>
      </c>
      <c r="Q149" s="6">
        <v>0</v>
      </c>
      <c r="R149" s="2">
        <v>1.2500000000000001E-2</v>
      </c>
      <c r="T149" s="12">
        <v>2</v>
      </c>
      <c r="U149" s="7"/>
      <c r="V149" s="7"/>
      <c r="W149" s="8"/>
      <c r="X149" s="9"/>
      <c r="Y149" s="9"/>
      <c r="Z149" s="9"/>
      <c r="AA149" s="10"/>
      <c r="AB149" s="11"/>
      <c r="AC149"/>
      <c r="AD149"/>
      <c r="AE149"/>
      <c r="AF149"/>
      <c r="AG149"/>
    </row>
    <row r="150" spans="1:33" ht="25.5" x14ac:dyDescent="0.2">
      <c r="A150" s="1" t="s">
        <v>224</v>
      </c>
      <c r="B150" s="5" t="s">
        <v>21</v>
      </c>
      <c r="C150" s="2">
        <v>0.05</v>
      </c>
      <c r="D150" s="3">
        <v>15.932499999999999</v>
      </c>
      <c r="E150" s="11" t="s">
        <v>174</v>
      </c>
      <c r="F150" s="2">
        <v>0.15</v>
      </c>
      <c r="G150" s="2">
        <v>0</v>
      </c>
      <c r="H150" s="11"/>
      <c r="I150" s="2"/>
      <c r="J150" s="2">
        <v>0</v>
      </c>
      <c r="K150" s="12"/>
      <c r="M150" s="3"/>
      <c r="N150" s="2">
        <v>0</v>
      </c>
      <c r="O150" s="2">
        <v>0</v>
      </c>
      <c r="P150" s="6">
        <v>0</v>
      </c>
      <c r="Q150" s="6">
        <v>0</v>
      </c>
      <c r="R150" s="2">
        <v>7.4999999999999997E-3</v>
      </c>
      <c r="S150" s="4" t="s">
        <v>26</v>
      </c>
      <c r="T150" s="12">
        <v>2</v>
      </c>
      <c r="U150" s="7"/>
      <c r="V150" s="7"/>
      <c r="W150" s="8"/>
      <c r="X150" s="9"/>
      <c r="Y150" s="9"/>
      <c r="Z150" s="9"/>
      <c r="AA150" s="10"/>
      <c r="AB150" s="11"/>
      <c r="AC150"/>
      <c r="AD150"/>
      <c r="AE150"/>
      <c r="AF150"/>
      <c r="AG150"/>
    </row>
    <row r="151" spans="1:33" x14ac:dyDescent="0.2">
      <c r="A151" s="1" t="s">
        <v>229</v>
      </c>
      <c r="B151" s="5" t="s">
        <v>21</v>
      </c>
      <c r="C151" s="2">
        <v>1.6667000000000001E-2</v>
      </c>
      <c r="D151" s="3">
        <v>5.3108339999999998</v>
      </c>
      <c r="E151" s="11" t="s">
        <v>74</v>
      </c>
      <c r="F151" s="2">
        <v>0.15</v>
      </c>
      <c r="G151" s="2">
        <v>0</v>
      </c>
      <c r="H151" s="11"/>
      <c r="I151" s="2"/>
      <c r="J151" s="2">
        <v>0</v>
      </c>
      <c r="K151" s="12"/>
      <c r="M151" s="3"/>
      <c r="N151" s="2">
        <v>0</v>
      </c>
      <c r="O151" s="2">
        <v>0</v>
      </c>
      <c r="P151" s="6">
        <v>0</v>
      </c>
      <c r="Q151" s="6">
        <v>0</v>
      </c>
      <c r="R151" s="2">
        <v>2.5000000000000001E-3</v>
      </c>
      <c r="T151" s="12">
        <v>2</v>
      </c>
      <c r="U151" s="7"/>
      <c r="V151" s="7"/>
      <c r="W151" s="8"/>
      <c r="X151" s="9"/>
      <c r="Y151" s="9"/>
      <c r="Z151" s="9"/>
      <c r="AA151" s="10"/>
      <c r="AB151" s="11"/>
      <c r="AC151"/>
      <c r="AD151"/>
      <c r="AE151"/>
      <c r="AF151"/>
      <c r="AG151"/>
    </row>
    <row r="152" spans="1:33" x14ac:dyDescent="0.2">
      <c r="A152" s="1" t="s">
        <v>231</v>
      </c>
      <c r="B152" s="5" t="s">
        <v>21</v>
      </c>
      <c r="C152" s="2">
        <v>8.9999999999999998E-4</v>
      </c>
      <c r="D152" s="3">
        <v>0.28678500000000001</v>
      </c>
      <c r="E152" s="11" t="s">
        <v>168</v>
      </c>
      <c r="F152" s="2">
        <v>0.1875</v>
      </c>
      <c r="G152" s="2">
        <v>0</v>
      </c>
      <c r="H152" s="11"/>
      <c r="I152" s="2"/>
      <c r="J152" s="2">
        <v>0</v>
      </c>
      <c r="K152" s="12"/>
      <c r="M152" s="3"/>
      <c r="N152" s="2">
        <v>0</v>
      </c>
      <c r="O152" s="2">
        <v>0</v>
      </c>
      <c r="P152" s="6">
        <v>0</v>
      </c>
      <c r="Q152" s="6">
        <v>0</v>
      </c>
      <c r="R152" s="2">
        <v>1.6899999999999999E-4</v>
      </c>
      <c r="T152" s="12">
        <v>2</v>
      </c>
      <c r="U152" s="7"/>
      <c r="V152" s="7"/>
      <c r="W152" s="8"/>
      <c r="X152" s="9"/>
      <c r="Y152" s="9"/>
      <c r="Z152" s="9"/>
      <c r="AA152" s="10"/>
      <c r="AB152" s="11"/>
      <c r="AC152"/>
      <c r="AD152"/>
      <c r="AE152"/>
      <c r="AF152"/>
      <c r="AG152"/>
    </row>
    <row r="153" spans="1:33" x14ac:dyDescent="0.2">
      <c r="A153" s="1" t="s">
        <v>231</v>
      </c>
      <c r="B153" s="5" t="s">
        <v>21</v>
      </c>
      <c r="C153" s="2">
        <v>2.0000000000000001E-4</v>
      </c>
      <c r="D153" s="3">
        <v>6.3729999999999995E-2</v>
      </c>
      <c r="E153" s="11" t="s">
        <v>168</v>
      </c>
      <c r="F153" s="2">
        <v>0.1875</v>
      </c>
      <c r="G153" s="2">
        <v>0</v>
      </c>
      <c r="H153" s="11"/>
      <c r="I153" s="2"/>
      <c r="J153" s="2">
        <v>0</v>
      </c>
      <c r="K153" s="12"/>
      <c r="M153" s="3"/>
      <c r="N153" s="2">
        <v>0</v>
      </c>
      <c r="O153" s="2">
        <v>0</v>
      </c>
      <c r="P153" s="6">
        <v>0</v>
      </c>
      <c r="Q153" s="6">
        <v>0</v>
      </c>
      <c r="R153" s="2">
        <v>3.8000000000000002E-5</v>
      </c>
      <c r="T153" s="12">
        <v>2</v>
      </c>
      <c r="U153" s="7"/>
      <c r="V153" s="7"/>
      <c r="W153" s="8"/>
      <c r="X153" s="9"/>
      <c r="Y153" s="9"/>
      <c r="Z153" s="9"/>
      <c r="AA153" s="10"/>
      <c r="AB153" s="11"/>
      <c r="AC153"/>
      <c r="AD153"/>
      <c r="AE153"/>
      <c r="AF153"/>
      <c r="AG153"/>
    </row>
    <row r="154" spans="1:33" x14ac:dyDescent="0.2">
      <c r="A154" s="1" t="s">
        <v>231</v>
      </c>
      <c r="B154" s="5" t="s">
        <v>21</v>
      </c>
      <c r="C154" s="2">
        <v>8.9999999999999998E-4</v>
      </c>
      <c r="D154" s="3">
        <v>0.28678500000000001</v>
      </c>
      <c r="E154" s="11" t="s">
        <v>168</v>
      </c>
      <c r="F154" s="2">
        <v>0.1875</v>
      </c>
      <c r="G154" s="2">
        <v>0</v>
      </c>
      <c r="H154" s="11"/>
      <c r="I154" s="2"/>
      <c r="J154" s="2">
        <v>0</v>
      </c>
      <c r="K154" s="12"/>
      <c r="M154" s="3"/>
      <c r="N154" s="2">
        <v>0</v>
      </c>
      <c r="O154" s="2">
        <v>0</v>
      </c>
      <c r="P154" s="6">
        <v>0</v>
      </c>
      <c r="Q154" s="6">
        <v>0</v>
      </c>
      <c r="R154" s="2">
        <v>1.6899999999999999E-4</v>
      </c>
      <c r="T154" s="12">
        <v>2</v>
      </c>
      <c r="U154" s="7"/>
      <c r="V154" s="7"/>
      <c r="W154" s="8"/>
      <c r="X154" s="9"/>
      <c r="Y154" s="9"/>
      <c r="Z154" s="9"/>
      <c r="AA154" s="10"/>
      <c r="AB154" s="11"/>
      <c r="AC154"/>
      <c r="AD154"/>
      <c r="AE154"/>
      <c r="AF154"/>
      <c r="AG154"/>
    </row>
    <row r="155" spans="1:33" x14ac:dyDescent="0.2">
      <c r="A155" s="1" t="s">
        <v>231</v>
      </c>
      <c r="B155" s="5" t="s">
        <v>21</v>
      </c>
      <c r="C155" s="2">
        <v>2.0000000000000001E-4</v>
      </c>
      <c r="D155" s="3">
        <v>6.3729999999999995E-2</v>
      </c>
      <c r="E155" s="11" t="s">
        <v>168</v>
      </c>
      <c r="F155" s="2">
        <v>0.1875</v>
      </c>
      <c r="G155" s="2">
        <v>0</v>
      </c>
      <c r="H155" s="11"/>
      <c r="I155" s="2"/>
      <c r="J155" s="2">
        <v>0</v>
      </c>
      <c r="K155" s="12"/>
      <c r="M155" s="3"/>
      <c r="N155" s="2">
        <v>0</v>
      </c>
      <c r="O155" s="2">
        <v>0</v>
      </c>
      <c r="P155" s="6">
        <v>0</v>
      </c>
      <c r="Q155" s="6">
        <v>0</v>
      </c>
      <c r="R155" s="2">
        <v>3.8000000000000002E-5</v>
      </c>
      <c r="T155" s="12">
        <v>2</v>
      </c>
      <c r="U155" s="7"/>
      <c r="V155" s="7"/>
      <c r="W155" s="8"/>
      <c r="X155" s="9"/>
      <c r="Y155" s="9"/>
      <c r="Z155" s="9"/>
      <c r="AA155" s="10"/>
      <c r="AB155" s="11"/>
      <c r="AC155"/>
      <c r="AD155"/>
      <c r="AE155"/>
      <c r="AF155"/>
      <c r="AG155"/>
    </row>
    <row r="156" spans="1:33" x14ac:dyDescent="0.2">
      <c r="A156" s="1" t="s">
        <v>231</v>
      </c>
      <c r="B156" s="5" t="s">
        <v>21</v>
      </c>
      <c r="C156" s="2">
        <v>6.7999999999999999E-5</v>
      </c>
      <c r="D156" s="3">
        <v>2.1509E-2</v>
      </c>
      <c r="E156" s="11" t="s">
        <v>168</v>
      </c>
      <c r="F156" s="2">
        <v>0.1875</v>
      </c>
      <c r="G156" s="2">
        <v>0</v>
      </c>
      <c r="H156" s="11"/>
      <c r="I156" s="2"/>
      <c r="J156" s="2">
        <v>0</v>
      </c>
      <c r="K156" s="12"/>
      <c r="M156" s="3"/>
      <c r="N156" s="2">
        <v>0</v>
      </c>
      <c r="O156" s="2">
        <v>0</v>
      </c>
      <c r="P156" s="6">
        <v>0</v>
      </c>
      <c r="Q156" s="6">
        <v>0</v>
      </c>
      <c r="R156" s="2">
        <v>1.2999999999999999E-5</v>
      </c>
      <c r="T156" s="12">
        <v>2</v>
      </c>
      <c r="U156" s="7"/>
      <c r="V156" s="7"/>
      <c r="W156" s="8"/>
      <c r="X156" s="9"/>
      <c r="Y156" s="9"/>
      <c r="Z156" s="9"/>
      <c r="AA156" s="10"/>
      <c r="AB156" s="11"/>
      <c r="AC156"/>
      <c r="AD156"/>
      <c r="AE156"/>
      <c r="AF156"/>
      <c r="AG156"/>
    </row>
    <row r="157" spans="1:33" x14ac:dyDescent="0.2">
      <c r="A157" s="1" t="s">
        <v>231</v>
      </c>
      <c r="B157" s="5" t="s">
        <v>21</v>
      </c>
      <c r="C157" s="2">
        <v>5.9999999999999995E-4</v>
      </c>
      <c r="D157" s="3">
        <v>0.19119</v>
      </c>
      <c r="E157" s="11" t="s">
        <v>168</v>
      </c>
      <c r="F157" s="2">
        <v>0.1875</v>
      </c>
      <c r="G157" s="2">
        <v>0</v>
      </c>
      <c r="H157" s="11"/>
      <c r="I157" s="2"/>
      <c r="J157" s="2">
        <v>0</v>
      </c>
      <c r="K157" s="12"/>
      <c r="M157" s="3"/>
      <c r="N157" s="2">
        <v>0</v>
      </c>
      <c r="O157" s="2">
        <v>0</v>
      </c>
      <c r="P157" s="6">
        <v>0</v>
      </c>
      <c r="Q157" s="6">
        <v>0</v>
      </c>
      <c r="R157" s="2">
        <v>1.13E-4</v>
      </c>
      <c r="T157" s="12">
        <v>2</v>
      </c>
      <c r="U157" s="7"/>
      <c r="V157" s="7"/>
      <c r="W157" s="8"/>
      <c r="X157" s="9"/>
      <c r="Y157" s="9"/>
      <c r="Z157" s="9"/>
      <c r="AA157" s="10"/>
      <c r="AB157" s="11"/>
      <c r="AC157"/>
      <c r="AD157"/>
      <c r="AE157"/>
      <c r="AF157"/>
      <c r="AG157"/>
    </row>
    <row r="158" spans="1:33" x14ac:dyDescent="0.2">
      <c r="A158" s="1" t="s">
        <v>231</v>
      </c>
      <c r="B158" s="5" t="s">
        <v>21</v>
      </c>
      <c r="C158" s="2">
        <v>8.9999999999999998E-4</v>
      </c>
      <c r="D158" s="3">
        <v>0.28678399999999998</v>
      </c>
      <c r="E158" s="11" t="s">
        <v>168</v>
      </c>
      <c r="F158" s="2">
        <v>0.1875</v>
      </c>
      <c r="G158" s="2">
        <v>0</v>
      </c>
      <c r="H158" s="11"/>
      <c r="I158" s="2"/>
      <c r="J158" s="2">
        <v>0</v>
      </c>
      <c r="K158" s="12"/>
      <c r="M158" s="3"/>
      <c r="N158" s="2">
        <v>0</v>
      </c>
      <c r="O158" s="2">
        <v>0</v>
      </c>
      <c r="P158" s="6">
        <v>0</v>
      </c>
      <c r="Q158" s="6">
        <v>0</v>
      </c>
      <c r="R158" s="2">
        <v>1.6899999999999999E-4</v>
      </c>
      <c r="T158" s="12">
        <v>2</v>
      </c>
      <c r="U158" s="7"/>
      <c r="V158" s="7"/>
      <c r="W158" s="8"/>
      <c r="X158" s="9"/>
      <c r="Y158" s="9"/>
      <c r="Z158" s="9"/>
      <c r="AA158" s="10"/>
      <c r="AB158" s="11"/>
      <c r="AC158"/>
      <c r="AD158"/>
      <c r="AE158"/>
      <c r="AF158"/>
      <c r="AG158"/>
    </row>
    <row r="159" spans="1:33" x14ac:dyDescent="0.2">
      <c r="A159" s="1" t="s">
        <v>231</v>
      </c>
      <c r="B159" s="5" t="s">
        <v>21</v>
      </c>
      <c r="C159" s="2">
        <v>5.9999999999999995E-4</v>
      </c>
      <c r="D159" s="3">
        <v>0.19119</v>
      </c>
      <c r="E159" s="11" t="s">
        <v>168</v>
      </c>
      <c r="F159" s="2">
        <v>0.1875</v>
      </c>
      <c r="G159" s="2">
        <v>0</v>
      </c>
      <c r="H159" s="11"/>
      <c r="I159" s="2"/>
      <c r="J159" s="2">
        <v>0</v>
      </c>
      <c r="K159" s="12"/>
      <c r="M159" s="3"/>
      <c r="N159" s="2">
        <v>0</v>
      </c>
      <c r="O159" s="2">
        <v>0</v>
      </c>
      <c r="P159" s="6">
        <v>0</v>
      </c>
      <c r="Q159" s="6">
        <v>0</v>
      </c>
      <c r="R159" s="2">
        <v>1.13E-4</v>
      </c>
      <c r="T159" s="12">
        <v>2</v>
      </c>
      <c r="U159" s="7"/>
      <c r="V159" s="7"/>
      <c r="W159" s="8"/>
      <c r="X159" s="9"/>
      <c r="Y159" s="9"/>
      <c r="Z159" s="9"/>
      <c r="AA159" s="10"/>
      <c r="AB159" s="11"/>
      <c r="AC159"/>
      <c r="AD159"/>
      <c r="AE159"/>
      <c r="AF159"/>
      <c r="AG159"/>
    </row>
    <row r="160" spans="1:33" x14ac:dyDescent="0.2">
      <c r="A160" s="1" t="s">
        <v>231</v>
      </c>
      <c r="B160" s="5" t="s">
        <v>21</v>
      </c>
      <c r="C160" s="2">
        <v>2.0000000000000001E-4</v>
      </c>
      <c r="D160" s="3">
        <v>6.3729999999999995E-2</v>
      </c>
      <c r="E160" s="11" t="s">
        <v>168</v>
      </c>
      <c r="F160" s="2">
        <v>0.1875</v>
      </c>
      <c r="G160" s="2">
        <v>0</v>
      </c>
      <c r="H160" s="11"/>
      <c r="I160" s="2"/>
      <c r="J160" s="2">
        <v>0</v>
      </c>
      <c r="K160" s="12"/>
      <c r="M160" s="3"/>
      <c r="N160" s="2">
        <v>0</v>
      </c>
      <c r="O160" s="2">
        <v>0</v>
      </c>
      <c r="P160" s="6">
        <v>0</v>
      </c>
      <c r="Q160" s="6">
        <v>0</v>
      </c>
      <c r="R160" s="2">
        <v>3.8000000000000002E-5</v>
      </c>
      <c r="T160" s="12">
        <v>2</v>
      </c>
      <c r="U160" s="7"/>
      <c r="V160" s="7"/>
      <c r="W160" s="8"/>
      <c r="X160" s="9"/>
      <c r="Y160" s="9"/>
      <c r="Z160" s="9"/>
      <c r="AA160" s="10"/>
      <c r="AB160" s="11"/>
      <c r="AC160"/>
      <c r="AD160"/>
      <c r="AE160"/>
      <c r="AF160"/>
      <c r="AG160"/>
    </row>
    <row r="161" spans="1:33" x14ac:dyDescent="0.2">
      <c r="A161" s="1" t="s">
        <v>232</v>
      </c>
      <c r="B161" s="5" t="s">
        <v>21</v>
      </c>
      <c r="C161" s="2">
        <v>7.4999999999999997E-2</v>
      </c>
      <c r="D161" s="3">
        <v>23.89875</v>
      </c>
      <c r="E161" s="11" t="s">
        <v>35</v>
      </c>
      <c r="F161" s="2">
        <v>0.16666666999999999</v>
      </c>
      <c r="G161" s="2">
        <v>0</v>
      </c>
      <c r="H161" s="11"/>
      <c r="I161" s="2"/>
      <c r="J161" s="2">
        <v>0</v>
      </c>
      <c r="K161" s="12"/>
      <c r="M161" s="3"/>
      <c r="N161" s="2">
        <v>0</v>
      </c>
      <c r="O161" s="2">
        <v>0</v>
      </c>
      <c r="P161" s="6">
        <v>0</v>
      </c>
      <c r="Q161" s="6">
        <v>0</v>
      </c>
      <c r="R161" s="2">
        <v>1.2500000000000001E-2</v>
      </c>
      <c r="T161" s="12">
        <v>2</v>
      </c>
      <c r="U161" s="7"/>
      <c r="V161" s="7"/>
      <c r="W161" s="8"/>
      <c r="X161" s="9"/>
      <c r="Y161" s="9"/>
      <c r="Z161" s="9"/>
      <c r="AA161" s="10"/>
      <c r="AB161" s="11"/>
      <c r="AC161"/>
      <c r="AD161"/>
      <c r="AE161"/>
      <c r="AF161"/>
      <c r="AG161"/>
    </row>
    <row r="162" spans="1:33" x14ac:dyDescent="0.2">
      <c r="A162" s="1" t="s">
        <v>119</v>
      </c>
      <c r="B162" s="5" t="s">
        <v>13</v>
      </c>
      <c r="C162" s="2"/>
      <c r="D162" s="3"/>
      <c r="E162" s="11"/>
      <c r="F162" s="2"/>
      <c r="G162" s="2">
        <v>0</v>
      </c>
      <c r="H162" s="11"/>
      <c r="I162" s="2"/>
      <c r="J162" s="2">
        <v>0</v>
      </c>
      <c r="K162" s="12"/>
      <c r="M162" s="3">
        <v>0</v>
      </c>
      <c r="N162" s="2">
        <v>0</v>
      </c>
      <c r="O162" s="2">
        <v>0</v>
      </c>
      <c r="P162" s="6">
        <v>0</v>
      </c>
      <c r="Q162" s="6">
        <v>0</v>
      </c>
      <c r="R162" s="2">
        <v>0</v>
      </c>
      <c r="T162" s="12">
        <v>2</v>
      </c>
      <c r="U162" s="7"/>
      <c r="V162" s="7"/>
      <c r="W162" s="8"/>
      <c r="X162" s="9"/>
      <c r="Y162" s="9"/>
      <c r="Z162" s="9"/>
      <c r="AA162" s="10"/>
      <c r="AB162" s="11"/>
      <c r="AC162"/>
      <c r="AD162"/>
      <c r="AE162"/>
      <c r="AF162"/>
      <c r="AG162"/>
    </row>
    <row r="163" spans="1:33" x14ac:dyDescent="0.2">
      <c r="A163" s="1" t="s">
        <v>29</v>
      </c>
      <c r="B163" s="5" t="s">
        <v>15</v>
      </c>
      <c r="C163" s="2"/>
      <c r="D163" s="3"/>
      <c r="E163" s="11" t="s">
        <v>74</v>
      </c>
      <c r="F163" s="2"/>
      <c r="G163" s="2">
        <v>0</v>
      </c>
      <c r="H163" s="11"/>
      <c r="I163" s="2"/>
      <c r="J163" s="2">
        <v>0</v>
      </c>
      <c r="K163" s="12" t="s">
        <v>32</v>
      </c>
      <c r="L163" s="2">
        <v>0.1</v>
      </c>
      <c r="M163" s="3">
        <v>31.864999999999998</v>
      </c>
      <c r="N163" s="2">
        <v>0</v>
      </c>
      <c r="O163" s="2">
        <v>0</v>
      </c>
      <c r="P163" s="6">
        <v>0.05</v>
      </c>
      <c r="Q163" s="6">
        <v>6.25E-2</v>
      </c>
      <c r="R163" s="2">
        <v>3.1300000000000002E-4</v>
      </c>
      <c r="T163" s="12">
        <v>2</v>
      </c>
      <c r="U163" s="7"/>
      <c r="V163" s="7"/>
      <c r="W163" s="8"/>
      <c r="X163" s="9"/>
      <c r="Y163" s="9"/>
      <c r="Z163" s="9"/>
      <c r="AA163" s="10"/>
      <c r="AB163" s="11"/>
      <c r="AC163"/>
      <c r="AD163"/>
      <c r="AE163"/>
      <c r="AF163"/>
      <c r="AG163"/>
    </row>
    <row r="164" spans="1:33" x14ac:dyDescent="0.2">
      <c r="A164" s="1" t="s">
        <v>29</v>
      </c>
      <c r="B164" s="5" t="s">
        <v>15</v>
      </c>
      <c r="C164" s="2"/>
      <c r="D164" s="3"/>
      <c r="E164" s="11" t="s">
        <v>162</v>
      </c>
      <c r="F164" s="2"/>
      <c r="G164" s="2">
        <v>0</v>
      </c>
      <c r="H164" s="11"/>
      <c r="I164" s="2"/>
      <c r="J164" s="2">
        <v>0</v>
      </c>
      <c r="K164" s="12" t="s">
        <v>30</v>
      </c>
      <c r="L164" s="2">
        <v>0.52500000000000002</v>
      </c>
      <c r="M164" s="3">
        <v>167.29124999999999</v>
      </c>
      <c r="N164" s="2">
        <v>0</v>
      </c>
      <c r="O164" s="2">
        <v>0</v>
      </c>
      <c r="P164" s="6">
        <v>3.3333000000000002E-2</v>
      </c>
      <c r="Q164" s="6">
        <v>6.25E-2</v>
      </c>
      <c r="R164" s="2">
        <v>1.0939999999999999E-3</v>
      </c>
      <c r="T164" s="12">
        <v>2</v>
      </c>
      <c r="U164" s="7"/>
      <c r="V164" s="7"/>
      <c r="W164" s="8"/>
      <c r="X164" s="9"/>
      <c r="Y164" s="9"/>
      <c r="Z164" s="9"/>
      <c r="AA164" s="10"/>
      <c r="AB164" s="11"/>
      <c r="AC164"/>
      <c r="AD164"/>
      <c r="AE164"/>
      <c r="AF164"/>
      <c r="AG164"/>
    </row>
    <row r="165" spans="1:33" x14ac:dyDescent="0.2">
      <c r="A165" s="1" t="s">
        <v>36</v>
      </c>
      <c r="B165" s="5" t="s">
        <v>15</v>
      </c>
      <c r="C165" s="2"/>
      <c r="D165" s="3"/>
      <c r="E165" s="11" t="s">
        <v>74</v>
      </c>
      <c r="F165" s="2"/>
      <c r="G165" s="2">
        <v>0</v>
      </c>
      <c r="H165" s="11"/>
      <c r="I165" s="2"/>
      <c r="J165" s="2">
        <v>0</v>
      </c>
      <c r="K165" s="12" t="s">
        <v>32</v>
      </c>
      <c r="L165" s="2">
        <v>0.1</v>
      </c>
      <c r="M165" s="3">
        <v>31.864999999999998</v>
      </c>
      <c r="N165" s="2">
        <v>0</v>
      </c>
      <c r="O165" s="2">
        <v>0</v>
      </c>
      <c r="P165" s="6">
        <v>0.05</v>
      </c>
      <c r="Q165" s="6">
        <v>2.7799999999999998E-2</v>
      </c>
      <c r="R165" s="2">
        <v>1.3899999999999999E-4</v>
      </c>
      <c r="T165" s="12">
        <v>2</v>
      </c>
      <c r="U165" s="7"/>
      <c r="V165" s="7"/>
      <c r="W165" s="8"/>
      <c r="X165" s="9"/>
      <c r="Y165" s="9"/>
      <c r="Z165" s="9"/>
      <c r="AA165" s="10"/>
      <c r="AB165" s="11"/>
      <c r="AC165"/>
      <c r="AD165"/>
      <c r="AE165"/>
      <c r="AF165"/>
      <c r="AG165"/>
    </row>
    <row r="166" spans="1:33" x14ac:dyDescent="0.2">
      <c r="A166" s="1" t="s">
        <v>36</v>
      </c>
      <c r="B166" s="5" t="s">
        <v>15</v>
      </c>
      <c r="C166" s="2"/>
      <c r="D166" s="3"/>
      <c r="E166" s="11" t="s">
        <v>162</v>
      </c>
      <c r="F166" s="2"/>
      <c r="G166" s="2">
        <v>0</v>
      </c>
      <c r="H166" s="11"/>
      <c r="I166" s="2"/>
      <c r="J166" s="2">
        <v>0</v>
      </c>
      <c r="K166" s="12" t="s">
        <v>30</v>
      </c>
      <c r="L166" s="2">
        <v>0.52500000000000002</v>
      </c>
      <c r="M166" s="3">
        <v>167.29124999999999</v>
      </c>
      <c r="N166" s="2">
        <v>0</v>
      </c>
      <c r="O166" s="2">
        <v>0</v>
      </c>
      <c r="P166" s="6">
        <v>3.3333000000000002E-2</v>
      </c>
      <c r="Q166" s="6">
        <v>2.7799999999999998E-2</v>
      </c>
      <c r="R166" s="2">
        <v>4.8700000000000002E-4</v>
      </c>
      <c r="T166" s="12">
        <v>2</v>
      </c>
      <c r="U166" s="7"/>
      <c r="V166" s="7"/>
      <c r="W166" s="8"/>
      <c r="X166" s="9"/>
      <c r="Y166" s="9"/>
      <c r="Z166" s="9"/>
      <c r="AA166" s="10"/>
      <c r="AB166" s="11"/>
      <c r="AC166"/>
      <c r="AD166"/>
      <c r="AE166"/>
      <c r="AF166"/>
      <c r="AG166"/>
    </row>
    <row r="167" spans="1:33" x14ac:dyDescent="0.2">
      <c r="A167" s="1" t="s">
        <v>42</v>
      </c>
      <c r="B167" s="5" t="s">
        <v>15</v>
      </c>
      <c r="C167" s="2"/>
      <c r="D167" s="3"/>
      <c r="E167" s="11" t="s">
        <v>35</v>
      </c>
      <c r="F167" s="2"/>
      <c r="G167" s="2">
        <v>0</v>
      </c>
      <c r="H167" s="11"/>
      <c r="I167" s="2"/>
      <c r="J167" s="2">
        <v>0</v>
      </c>
      <c r="K167" s="12" t="s">
        <v>22</v>
      </c>
      <c r="L167" s="2">
        <v>7.4999999999999997E-2</v>
      </c>
      <c r="M167" s="3">
        <v>23.89875</v>
      </c>
      <c r="N167" s="2">
        <v>0</v>
      </c>
      <c r="O167" s="2">
        <v>0</v>
      </c>
      <c r="P167" s="6">
        <v>8.3330000000000001E-3</v>
      </c>
      <c r="Q167" s="6">
        <v>3.0000000000000001E-3</v>
      </c>
      <c r="R167" s="2">
        <v>1.9999999999999999E-6</v>
      </c>
      <c r="T167" s="12">
        <v>2</v>
      </c>
      <c r="U167" s="7"/>
      <c r="V167" s="7"/>
      <c r="W167" s="8"/>
      <c r="X167" s="9"/>
      <c r="Y167" s="9"/>
      <c r="Z167" s="9"/>
      <c r="AA167" s="10"/>
      <c r="AB167" s="11"/>
      <c r="AC167"/>
      <c r="AD167"/>
      <c r="AE167"/>
      <c r="AF167"/>
      <c r="AG167"/>
    </row>
    <row r="168" spans="1:33" x14ac:dyDescent="0.2">
      <c r="A168" s="1" t="s">
        <v>42</v>
      </c>
      <c r="B168" s="5" t="s">
        <v>15</v>
      </c>
      <c r="C168" s="2"/>
      <c r="D168" s="3"/>
      <c r="E168" s="11" t="s">
        <v>170</v>
      </c>
      <c r="F168" s="2"/>
      <c r="G168" s="2">
        <v>0</v>
      </c>
      <c r="H168" s="11"/>
      <c r="I168" s="2"/>
      <c r="J168" s="2">
        <v>0</v>
      </c>
      <c r="K168" s="12" t="s">
        <v>43</v>
      </c>
      <c r="L168" s="2">
        <v>0.2</v>
      </c>
      <c r="M168" s="3">
        <v>63.73</v>
      </c>
      <c r="N168" s="2">
        <v>0</v>
      </c>
      <c r="O168" s="2">
        <v>0</v>
      </c>
      <c r="P168" s="6">
        <v>8.3330000000000001E-3</v>
      </c>
      <c r="Q168" s="6">
        <v>3.0000000000000001E-3</v>
      </c>
      <c r="R168" s="2">
        <v>5.0000000000000004E-6</v>
      </c>
      <c r="S168" s="4" t="s">
        <v>44</v>
      </c>
      <c r="T168" s="12">
        <v>2</v>
      </c>
      <c r="U168" s="7"/>
      <c r="V168" s="7"/>
      <c r="W168" s="8"/>
      <c r="X168" s="9"/>
      <c r="Y168" s="9"/>
      <c r="Z168" s="9"/>
      <c r="AA168" s="10"/>
      <c r="AB168" s="11"/>
      <c r="AC168"/>
      <c r="AD168"/>
      <c r="AE168"/>
      <c r="AF168"/>
      <c r="AG168"/>
    </row>
    <row r="169" spans="1:33" x14ac:dyDescent="0.2">
      <c r="A169" s="1" t="s">
        <v>173</v>
      </c>
      <c r="B169" s="5" t="s">
        <v>15</v>
      </c>
      <c r="C169" s="2"/>
      <c r="D169" s="3"/>
      <c r="E169" s="11" t="s">
        <v>174</v>
      </c>
      <c r="F169" s="2"/>
      <c r="G169" s="2">
        <v>0</v>
      </c>
      <c r="H169" s="11"/>
      <c r="I169" s="2"/>
      <c r="J169" s="2">
        <v>0</v>
      </c>
      <c r="K169" s="12" t="s">
        <v>46</v>
      </c>
      <c r="L169" s="2">
        <v>0.1</v>
      </c>
      <c r="M169" s="3">
        <v>31.864999999999998</v>
      </c>
      <c r="N169" s="2">
        <v>0</v>
      </c>
      <c r="O169" s="2">
        <v>0</v>
      </c>
      <c r="P169" s="6">
        <v>3.0000000000000001E-3</v>
      </c>
      <c r="Q169" s="6">
        <v>1</v>
      </c>
      <c r="R169" s="2">
        <v>2.9999999999999997E-4</v>
      </c>
      <c r="S169" s="4" t="s">
        <v>175</v>
      </c>
      <c r="T169" s="12">
        <v>2</v>
      </c>
      <c r="U169" s="7"/>
      <c r="V169" s="7"/>
      <c r="W169" s="8"/>
      <c r="X169" s="9"/>
      <c r="Y169" s="9"/>
      <c r="Z169" s="9"/>
      <c r="AA169" s="10"/>
      <c r="AB169" s="11"/>
      <c r="AC169"/>
      <c r="AD169"/>
      <c r="AE169"/>
      <c r="AF169"/>
      <c r="AG169"/>
    </row>
    <row r="170" spans="1:33" x14ac:dyDescent="0.2">
      <c r="A170" s="1" t="s">
        <v>59</v>
      </c>
      <c r="B170" s="5" t="s">
        <v>15</v>
      </c>
      <c r="C170" s="2"/>
      <c r="D170" s="3"/>
      <c r="E170" s="11" t="s">
        <v>74</v>
      </c>
      <c r="F170" s="2"/>
      <c r="G170" s="2">
        <v>0</v>
      </c>
      <c r="H170" s="11"/>
      <c r="I170" s="2"/>
      <c r="J170" s="2">
        <v>0</v>
      </c>
      <c r="K170" s="12" t="s">
        <v>32</v>
      </c>
      <c r="L170" s="2">
        <v>0.1</v>
      </c>
      <c r="M170" s="3">
        <v>31.864999999999998</v>
      </c>
      <c r="N170" s="2">
        <v>0</v>
      </c>
      <c r="O170" s="2">
        <v>0</v>
      </c>
      <c r="P170" s="6">
        <v>0.05</v>
      </c>
      <c r="Q170" s="6">
        <v>3.125E-2</v>
      </c>
      <c r="R170" s="2">
        <v>1.56E-4</v>
      </c>
      <c r="T170" s="12">
        <v>2</v>
      </c>
      <c r="U170" s="7"/>
      <c r="V170" s="7"/>
      <c r="W170" s="8"/>
      <c r="X170" s="9"/>
      <c r="Y170" s="9"/>
      <c r="Z170" s="9"/>
      <c r="AA170" s="10"/>
      <c r="AB170" s="11"/>
      <c r="AC170"/>
      <c r="AD170"/>
      <c r="AE170"/>
      <c r="AF170"/>
      <c r="AG170"/>
    </row>
    <row r="171" spans="1:33" x14ac:dyDescent="0.2">
      <c r="A171" s="1" t="s">
        <v>59</v>
      </c>
      <c r="B171" s="5" t="s">
        <v>15</v>
      </c>
      <c r="C171" s="2"/>
      <c r="D171" s="3"/>
      <c r="E171" s="11" t="s">
        <v>162</v>
      </c>
      <c r="F171" s="2"/>
      <c r="G171" s="2">
        <v>0</v>
      </c>
      <c r="H171" s="11"/>
      <c r="I171" s="2"/>
      <c r="J171" s="2">
        <v>0</v>
      </c>
      <c r="K171" s="12" t="s">
        <v>30</v>
      </c>
      <c r="L171" s="2">
        <v>0.52500000000000002</v>
      </c>
      <c r="M171" s="3">
        <v>167.29124999999999</v>
      </c>
      <c r="N171" s="2">
        <v>0</v>
      </c>
      <c r="O171" s="2">
        <v>0</v>
      </c>
      <c r="P171" s="6">
        <v>3.3333000000000002E-2</v>
      </c>
      <c r="Q171" s="6">
        <v>3.125E-2</v>
      </c>
      <c r="R171" s="2">
        <v>5.4699999999999996E-4</v>
      </c>
      <c r="T171" s="12">
        <v>2</v>
      </c>
      <c r="U171" s="7"/>
      <c r="V171" s="7"/>
      <c r="W171" s="8"/>
      <c r="X171" s="9"/>
      <c r="Y171" s="9"/>
      <c r="Z171" s="9"/>
      <c r="AA171" s="10"/>
      <c r="AB171" s="11"/>
      <c r="AC171"/>
      <c r="AD171"/>
      <c r="AE171"/>
      <c r="AF171"/>
      <c r="AG171"/>
    </row>
    <row r="172" spans="1:33" x14ac:dyDescent="0.2">
      <c r="A172" s="1" t="s">
        <v>60</v>
      </c>
      <c r="B172" s="5" t="s">
        <v>15</v>
      </c>
      <c r="C172" s="2"/>
      <c r="D172" s="3"/>
      <c r="E172" s="11" t="s">
        <v>35</v>
      </c>
      <c r="F172" s="2"/>
      <c r="G172" s="2">
        <v>0</v>
      </c>
      <c r="H172" s="11"/>
      <c r="I172" s="2"/>
      <c r="J172" s="2">
        <v>0</v>
      </c>
      <c r="K172" s="12" t="s">
        <v>22</v>
      </c>
      <c r="L172" s="2">
        <v>7.4999999999999997E-2</v>
      </c>
      <c r="M172" s="3">
        <v>23.89875</v>
      </c>
      <c r="N172" s="2">
        <v>0</v>
      </c>
      <c r="O172" s="2">
        <v>0</v>
      </c>
      <c r="P172" s="6">
        <v>8.3330000000000001E-3</v>
      </c>
      <c r="Q172" s="6">
        <v>0.4</v>
      </c>
      <c r="R172" s="2">
        <v>2.5000000000000001E-4</v>
      </c>
      <c r="T172" s="12">
        <v>2</v>
      </c>
      <c r="U172" s="7"/>
      <c r="V172" s="7"/>
      <c r="W172" s="8"/>
      <c r="X172" s="9"/>
      <c r="Y172" s="9"/>
      <c r="Z172" s="9"/>
      <c r="AA172" s="10"/>
      <c r="AB172" s="11"/>
      <c r="AC172"/>
      <c r="AD172"/>
      <c r="AE172"/>
      <c r="AF172"/>
      <c r="AG172"/>
    </row>
    <row r="173" spans="1:33" x14ac:dyDescent="0.2">
      <c r="A173" s="1" t="s">
        <v>60</v>
      </c>
      <c r="B173" s="5" t="s">
        <v>15</v>
      </c>
      <c r="C173" s="2"/>
      <c r="D173" s="3"/>
      <c r="E173" s="11" t="s">
        <v>170</v>
      </c>
      <c r="F173" s="2"/>
      <c r="G173" s="2">
        <v>0</v>
      </c>
      <c r="H173" s="11"/>
      <c r="I173" s="2"/>
      <c r="J173" s="2">
        <v>0</v>
      </c>
      <c r="K173" s="12" t="s">
        <v>43</v>
      </c>
      <c r="L173" s="2">
        <v>0.2</v>
      </c>
      <c r="M173" s="3">
        <v>63.73</v>
      </c>
      <c r="N173" s="2">
        <v>0</v>
      </c>
      <c r="O173" s="2">
        <v>0</v>
      </c>
      <c r="P173" s="6">
        <v>8.3330000000000001E-3</v>
      </c>
      <c r="Q173" s="6">
        <v>0.4</v>
      </c>
      <c r="R173" s="2">
        <v>6.6699999999999995E-4</v>
      </c>
      <c r="S173" s="4" t="s">
        <v>44</v>
      </c>
      <c r="T173" s="12">
        <v>2</v>
      </c>
      <c r="U173" s="7"/>
      <c r="V173" s="7"/>
      <c r="W173" s="8"/>
      <c r="X173" s="9"/>
      <c r="Y173" s="9"/>
      <c r="Z173" s="9"/>
      <c r="AA173" s="10"/>
      <c r="AB173" s="11"/>
      <c r="AC173"/>
      <c r="AD173"/>
      <c r="AE173"/>
      <c r="AF173"/>
      <c r="AG173"/>
    </row>
    <row r="174" spans="1:33" x14ac:dyDescent="0.2">
      <c r="A174" s="1" t="s">
        <v>178</v>
      </c>
      <c r="B174" s="5" t="s">
        <v>15</v>
      </c>
      <c r="C174" s="2"/>
      <c r="D174" s="3"/>
      <c r="E174" s="11" t="s">
        <v>174</v>
      </c>
      <c r="F174" s="2"/>
      <c r="G174" s="2">
        <v>0</v>
      </c>
      <c r="H174" s="11"/>
      <c r="I174" s="2"/>
      <c r="J174" s="2">
        <v>0</v>
      </c>
      <c r="K174" s="12" t="s">
        <v>46</v>
      </c>
      <c r="L174" s="2">
        <v>0.1</v>
      </c>
      <c r="M174" s="3">
        <v>31.864999999999998</v>
      </c>
      <c r="N174" s="2">
        <v>0</v>
      </c>
      <c r="O174" s="2">
        <v>0</v>
      </c>
      <c r="P174" s="6">
        <v>1.5E-3</v>
      </c>
      <c r="Q174" s="6">
        <v>1</v>
      </c>
      <c r="R174" s="2">
        <v>1.4999999999999999E-4</v>
      </c>
      <c r="S174" s="4" t="s">
        <v>175</v>
      </c>
      <c r="T174" s="12">
        <v>2</v>
      </c>
      <c r="U174" s="7"/>
      <c r="V174" s="7"/>
      <c r="W174" s="8"/>
      <c r="X174" s="9"/>
      <c r="Y174" s="9"/>
      <c r="Z174" s="9"/>
      <c r="AA174" s="10"/>
      <c r="AB174" s="11"/>
      <c r="AC174"/>
      <c r="AD174"/>
      <c r="AE174"/>
      <c r="AF174"/>
      <c r="AG174"/>
    </row>
    <row r="175" spans="1:33" x14ac:dyDescent="0.2">
      <c r="A175" s="1" t="s">
        <v>69</v>
      </c>
      <c r="B175" s="5" t="s">
        <v>15</v>
      </c>
      <c r="C175" s="2"/>
      <c r="D175" s="3"/>
      <c r="E175" s="11" t="s">
        <v>162</v>
      </c>
      <c r="F175" s="2"/>
      <c r="G175" s="2">
        <v>0</v>
      </c>
      <c r="H175" s="11"/>
      <c r="I175" s="2"/>
      <c r="J175" s="2">
        <v>0</v>
      </c>
      <c r="K175" s="12" t="s">
        <v>30</v>
      </c>
      <c r="L175" s="2">
        <v>0.52500000000000002</v>
      </c>
      <c r="M175" s="3">
        <v>167.29124999999999</v>
      </c>
      <c r="N175" s="2">
        <v>0</v>
      </c>
      <c r="O175" s="2">
        <v>0</v>
      </c>
      <c r="P175" s="6">
        <v>3.3333000000000002E-2</v>
      </c>
      <c r="Q175" s="6">
        <v>0.38335000000000002</v>
      </c>
      <c r="R175" s="2">
        <v>6.7089999999999997E-3</v>
      </c>
      <c r="T175" s="12">
        <v>2</v>
      </c>
      <c r="U175" s="7"/>
      <c r="V175" s="7"/>
      <c r="W175" s="8"/>
      <c r="X175" s="9"/>
      <c r="Y175" s="9"/>
      <c r="Z175" s="9"/>
      <c r="AA175" s="10"/>
      <c r="AB175" s="11"/>
      <c r="AC175"/>
      <c r="AD175"/>
      <c r="AE175"/>
      <c r="AF175"/>
      <c r="AG175"/>
    </row>
    <row r="176" spans="1:33" x14ac:dyDescent="0.2">
      <c r="A176" s="1" t="s">
        <v>69</v>
      </c>
      <c r="B176" s="5" t="s">
        <v>15</v>
      </c>
      <c r="C176" s="2"/>
      <c r="D176" s="3"/>
      <c r="E176" s="11" t="s">
        <v>74</v>
      </c>
      <c r="F176" s="2"/>
      <c r="G176" s="2">
        <v>0</v>
      </c>
      <c r="H176" s="11"/>
      <c r="I176" s="2"/>
      <c r="J176" s="2">
        <v>0</v>
      </c>
      <c r="K176" s="12" t="s">
        <v>32</v>
      </c>
      <c r="L176" s="2">
        <v>0.1</v>
      </c>
      <c r="M176" s="3">
        <v>31.864999999999998</v>
      </c>
      <c r="N176" s="2">
        <v>0</v>
      </c>
      <c r="O176" s="2">
        <v>0</v>
      </c>
      <c r="P176" s="6">
        <v>0.05</v>
      </c>
      <c r="Q176" s="6">
        <v>0.38335000000000002</v>
      </c>
      <c r="R176" s="2">
        <v>1.9170000000000001E-3</v>
      </c>
      <c r="T176" s="12">
        <v>2</v>
      </c>
      <c r="U176" s="7"/>
      <c r="V176" s="7"/>
      <c r="W176" s="8"/>
      <c r="X176" s="9"/>
      <c r="Y176" s="9"/>
      <c r="Z176" s="9"/>
      <c r="AA176" s="10"/>
      <c r="AB176" s="11"/>
      <c r="AC176"/>
      <c r="AD176"/>
      <c r="AE176"/>
      <c r="AF176"/>
      <c r="AG176"/>
    </row>
    <row r="177" spans="1:33" x14ac:dyDescent="0.2">
      <c r="A177" s="1" t="s">
        <v>69</v>
      </c>
      <c r="B177" s="5" t="s">
        <v>15</v>
      </c>
      <c r="C177" s="2"/>
      <c r="D177" s="3"/>
      <c r="E177" s="11" t="s">
        <v>162</v>
      </c>
      <c r="F177" s="2"/>
      <c r="G177" s="2">
        <v>0</v>
      </c>
      <c r="H177" s="11"/>
      <c r="I177" s="2"/>
      <c r="J177" s="2">
        <v>0</v>
      </c>
      <c r="K177" s="12" t="s">
        <v>30</v>
      </c>
      <c r="L177" s="2">
        <v>0.52500000000000002</v>
      </c>
      <c r="M177" s="3">
        <v>167.29124999999999</v>
      </c>
      <c r="N177" s="2">
        <v>0</v>
      </c>
      <c r="O177" s="2">
        <v>0</v>
      </c>
      <c r="P177" s="6">
        <v>3.3333000000000002E-2</v>
      </c>
      <c r="Q177" s="6">
        <v>5.4999999999999997E-3</v>
      </c>
      <c r="R177" s="2">
        <v>9.6000000000000002E-5</v>
      </c>
      <c r="T177" s="12">
        <v>2</v>
      </c>
      <c r="U177" s="7"/>
      <c r="V177" s="7"/>
      <c r="W177" s="8"/>
      <c r="X177" s="9"/>
      <c r="Y177" s="9"/>
      <c r="Z177" s="9"/>
      <c r="AA177" s="10"/>
      <c r="AB177" s="11"/>
      <c r="AC177"/>
      <c r="AD177"/>
      <c r="AE177"/>
      <c r="AF177"/>
      <c r="AG177"/>
    </row>
    <row r="178" spans="1:33" x14ac:dyDescent="0.2">
      <c r="A178" s="1" t="s">
        <v>69</v>
      </c>
      <c r="B178" s="5" t="s">
        <v>15</v>
      </c>
      <c r="C178" s="2"/>
      <c r="D178" s="3"/>
      <c r="E178" s="11" t="s">
        <v>74</v>
      </c>
      <c r="F178" s="2"/>
      <c r="G178" s="2">
        <v>0</v>
      </c>
      <c r="H178" s="11"/>
      <c r="I178" s="2"/>
      <c r="J178" s="2">
        <v>0</v>
      </c>
      <c r="K178" s="12" t="s">
        <v>32</v>
      </c>
      <c r="L178" s="2">
        <v>0.1</v>
      </c>
      <c r="M178" s="3">
        <v>31.864999999999998</v>
      </c>
      <c r="N178" s="2">
        <v>0</v>
      </c>
      <c r="O178" s="2">
        <v>0</v>
      </c>
      <c r="P178" s="6">
        <v>0.05</v>
      </c>
      <c r="Q178" s="6">
        <v>5.4999999999999997E-3</v>
      </c>
      <c r="R178" s="2">
        <v>2.8E-5</v>
      </c>
      <c r="T178" s="12">
        <v>2</v>
      </c>
      <c r="U178" s="7"/>
      <c r="V178" s="7"/>
      <c r="W178" s="8"/>
      <c r="X178" s="9"/>
      <c r="Y178" s="9"/>
      <c r="Z178" s="9"/>
      <c r="AA178" s="10"/>
      <c r="AB178" s="11"/>
      <c r="AC178"/>
      <c r="AD178"/>
      <c r="AE178"/>
      <c r="AF178"/>
      <c r="AG178"/>
    </row>
    <row r="179" spans="1:33" x14ac:dyDescent="0.2">
      <c r="A179" s="1" t="s">
        <v>70</v>
      </c>
      <c r="B179" s="5" t="s">
        <v>15</v>
      </c>
      <c r="C179" s="2"/>
      <c r="D179" s="3"/>
      <c r="E179" s="11" t="s">
        <v>35</v>
      </c>
      <c r="F179" s="2"/>
      <c r="G179" s="2">
        <v>0</v>
      </c>
      <c r="H179" s="11"/>
      <c r="I179" s="2"/>
      <c r="J179" s="2">
        <v>0</v>
      </c>
      <c r="K179" s="12" t="s">
        <v>22</v>
      </c>
      <c r="L179" s="2">
        <v>7.4999999999999997E-2</v>
      </c>
      <c r="M179" s="3">
        <v>23.89875</v>
      </c>
      <c r="N179" s="2">
        <v>0</v>
      </c>
      <c r="O179" s="2">
        <v>0</v>
      </c>
      <c r="P179" s="6">
        <v>8.3330000000000001E-3</v>
      </c>
      <c r="Q179" s="6">
        <v>0.59399999999999997</v>
      </c>
      <c r="R179" s="2">
        <v>3.7100000000000002E-4</v>
      </c>
      <c r="T179" s="12">
        <v>2</v>
      </c>
      <c r="U179" s="7"/>
      <c r="V179" s="7"/>
      <c r="W179" s="8"/>
      <c r="X179" s="9"/>
      <c r="Y179" s="9"/>
      <c r="Z179" s="9"/>
      <c r="AA179" s="10"/>
      <c r="AB179" s="11"/>
      <c r="AC179"/>
      <c r="AD179"/>
      <c r="AE179"/>
      <c r="AF179"/>
      <c r="AG179"/>
    </row>
    <row r="180" spans="1:33" x14ac:dyDescent="0.2">
      <c r="A180" s="1" t="s">
        <v>70</v>
      </c>
      <c r="B180" s="5" t="s">
        <v>15</v>
      </c>
      <c r="C180" s="2"/>
      <c r="D180" s="3"/>
      <c r="E180" s="11" t="s">
        <v>170</v>
      </c>
      <c r="F180" s="2"/>
      <c r="G180" s="2">
        <v>0</v>
      </c>
      <c r="H180" s="11"/>
      <c r="I180" s="2"/>
      <c r="J180" s="2">
        <v>0</v>
      </c>
      <c r="K180" s="12" t="s">
        <v>43</v>
      </c>
      <c r="L180" s="2">
        <v>0.2</v>
      </c>
      <c r="M180" s="3">
        <v>63.73</v>
      </c>
      <c r="N180" s="2">
        <v>0</v>
      </c>
      <c r="O180" s="2">
        <v>0</v>
      </c>
      <c r="P180" s="6">
        <v>8.3330000000000001E-3</v>
      </c>
      <c r="Q180" s="6">
        <v>0.59399999999999997</v>
      </c>
      <c r="R180" s="2">
        <v>9.8999999999999999E-4</v>
      </c>
      <c r="S180" s="4" t="s">
        <v>44</v>
      </c>
      <c r="T180" s="12">
        <v>2</v>
      </c>
      <c r="U180" s="7"/>
      <c r="V180" s="7"/>
      <c r="W180" s="8"/>
      <c r="X180" s="9"/>
      <c r="Y180" s="9"/>
      <c r="Z180" s="9"/>
      <c r="AA180" s="10"/>
      <c r="AB180" s="11"/>
      <c r="AC180"/>
      <c r="AD180"/>
      <c r="AE180"/>
      <c r="AF180"/>
      <c r="AG180"/>
    </row>
    <row r="181" spans="1:33" x14ac:dyDescent="0.2">
      <c r="A181" s="1" t="s">
        <v>75</v>
      </c>
      <c r="B181" s="5" t="s">
        <v>15</v>
      </c>
      <c r="C181" s="2"/>
      <c r="D181" s="3"/>
      <c r="E181" s="11" t="s">
        <v>74</v>
      </c>
      <c r="F181" s="2"/>
      <c r="G181" s="2">
        <v>0</v>
      </c>
      <c r="H181" s="11"/>
      <c r="I181" s="2"/>
      <c r="J181" s="2">
        <v>0</v>
      </c>
      <c r="K181" s="12" t="s">
        <v>32</v>
      </c>
      <c r="L181" s="2">
        <v>0.1</v>
      </c>
      <c r="M181" s="3">
        <v>31.864999999999998</v>
      </c>
      <c r="N181" s="2">
        <v>0</v>
      </c>
      <c r="O181" s="2">
        <v>0</v>
      </c>
      <c r="P181" s="6">
        <v>0.05</v>
      </c>
      <c r="Q181" s="6">
        <v>0.125</v>
      </c>
      <c r="R181" s="2">
        <v>6.2500000000000001E-4</v>
      </c>
      <c r="T181" s="12">
        <v>2</v>
      </c>
      <c r="U181" s="7"/>
      <c r="V181" s="7"/>
      <c r="W181" s="8"/>
      <c r="X181" s="9"/>
      <c r="Y181" s="9"/>
      <c r="Z181" s="9"/>
      <c r="AA181" s="10"/>
      <c r="AB181" s="11"/>
      <c r="AC181"/>
      <c r="AD181"/>
      <c r="AE181"/>
      <c r="AF181"/>
      <c r="AG181"/>
    </row>
    <row r="182" spans="1:33" x14ac:dyDescent="0.2">
      <c r="A182" s="1" t="s">
        <v>75</v>
      </c>
      <c r="B182" s="5" t="s">
        <v>15</v>
      </c>
      <c r="C182" s="2"/>
      <c r="D182" s="3"/>
      <c r="E182" s="11" t="s">
        <v>162</v>
      </c>
      <c r="F182" s="2"/>
      <c r="G182" s="2">
        <v>0</v>
      </c>
      <c r="H182" s="11"/>
      <c r="I182" s="2"/>
      <c r="J182" s="2">
        <v>0</v>
      </c>
      <c r="K182" s="12" t="s">
        <v>30</v>
      </c>
      <c r="L182" s="2">
        <v>0.52500000000000002</v>
      </c>
      <c r="M182" s="3">
        <v>167.29124999999999</v>
      </c>
      <c r="N182" s="2">
        <v>0</v>
      </c>
      <c r="O182" s="2">
        <v>0</v>
      </c>
      <c r="P182" s="6">
        <v>3.3333000000000002E-2</v>
      </c>
      <c r="Q182" s="6">
        <v>0.125</v>
      </c>
      <c r="R182" s="2">
        <v>2.1879999999999998E-3</v>
      </c>
      <c r="T182" s="12">
        <v>2</v>
      </c>
      <c r="U182" s="7"/>
      <c r="V182" s="7"/>
      <c r="W182" s="8"/>
      <c r="X182" s="9"/>
      <c r="Y182" s="9"/>
      <c r="Z182" s="9"/>
      <c r="AA182" s="10"/>
      <c r="AB182" s="11"/>
      <c r="AC182"/>
      <c r="AD182"/>
      <c r="AE182"/>
      <c r="AF182"/>
      <c r="AG182"/>
    </row>
    <row r="183" spans="1:33" x14ac:dyDescent="0.2">
      <c r="A183" s="1" t="s">
        <v>183</v>
      </c>
      <c r="B183" s="5" t="s">
        <v>15</v>
      </c>
      <c r="C183" s="2"/>
      <c r="D183" s="3"/>
      <c r="E183" s="11" t="s">
        <v>35</v>
      </c>
      <c r="F183" s="2"/>
      <c r="G183" s="2">
        <v>0</v>
      </c>
      <c r="H183" s="11"/>
      <c r="I183" s="2"/>
      <c r="J183" s="2">
        <v>0</v>
      </c>
      <c r="K183" s="12" t="s">
        <v>22</v>
      </c>
      <c r="L183" s="2">
        <v>7.4999999999999997E-2</v>
      </c>
      <c r="M183" s="3">
        <v>23.89875</v>
      </c>
      <c r="N183" s="2">
        <v>0</v>
      </c>
      <c r="O183" s="2">
        <v>0</v>
      </c>
      <c r="P183" s="6">
        <v>0</v>
      </c>
      <c r="Q183" s="6">
        <v>1</v>
      </c>
      <c r="R183" s="2">
        <v>0</v>
      </c>
      <c r="S183" s="4" t="s">
        <v>184</v>
      </c>
      <c r="T183" s="12">
        <v>2</v>
      </c>
      <c r="U183" s="7"/>
      <c r="V183" s="7"/>
      <c r="W183" s="8"/>
      <c r="X183" s="9"/>
      <c r="Y183" s="9"/>
      <c r="Z183" s="9"/>
      <c r="AA183" s="10"/>
      <c r="AB183" s="11"/>
      <c r="AC183"/>
      <c r="AD183"/>
      <c r="AE183"/>
      <c r="AF183"/>
      <c r="AG183"/>
    </row>
    <row r="184" spans="1:33" x14ac:dyDescent="0.2">
      <c r="A184" s="1" t="s">
        <v>85</v>
      </c>
      <c r="B184" s="5" t="s">
        <v>15</v>
      </c>
      <c r="C184" s="2"/>
      <c r="D184" s="3"/>
      <c r="E184" s="11" t="s">
        <v>174</v>
      </c>
      <c r="F184" s="2"/>
      <c r="G184" s="2">
        <v>0</v>
      </c>
      <c r="H184" s="11"/>
      <c r="I184" s="2"/>
      <c r="J184" s="2">
        <v>0</v>
      </c>
      <c r="K184" s="12" t="s">
        <v>46</v>
      </c>
      <c r="L184" s="2">
        <v>0.1</v>
      </c>
      <c r="M184" s="3">
        <v>31.864999999999998</v>
      </c>
      <c r="N184" s="2">
        <v>0</v>
      </c>
      <c r="O184" s="2">
        <v>0</v>
      </c>
      <c r="P184" s="6">
        <v>8.9999999999999993E-3</v>
      </c>
      <c r="Q184" s="6">
        <v>1</v>
      </c>
      <c r="R184" s="2">
        <v>8.9999999999999998E-4</v>
      </c>
      <c r="S184" s="4" t="s">
        <v>175</v>
      </c>
      <c r="T184" s="12">
        <v>2</v>
      </c>
      <c r="U184" s="7"/>
      <c r="V184" s="7"/>
      <c r="W184" s="8"/>
      <c r="X184" s="9"/>
      <c r="Y184" s="9"/>
      <c r="Z184" s="9"/>
      <c r="AA184" s="10"/>
      <c r="AB184" s="11"/>
      <c r="AC184"/>
      <c r="AD184"/>
      <c r="AE184"/>
      <c r="AF184"/>
      <c r="AG184"/>
    </row>
    <row r="185" spans="1:33" x14ac:dyDescent="0.2">
      <c r="A185" s="1" t="s">
        <v>85</v>
      </c>
      <c r="B185" s="5" t="s">
        <v>15</v>
      </c>
      <c r="C185" s="2"/>
      <c r="D185" s="3"/>
      <c r="E185" s="11" t="s">
        <v>174</v>
      </c>
      <c r="F185" s="2"/>
      <c r="G185" s="2">
        <v>0</v>
      </c>
      <c r="H185" s="11"/>
      <c r="I185" s="2"/>
      <c r="J185" s="2">
        <v>0</v>
      </c>
      <c r="K185" s="12" t="s">
        <v>46</v>
      </c>
      <c r="L185" s="2">
        <v>0.1</v>
      </c>
      <c r="M185" s="3">
        <v>31.864999999999998</v>
      </c>
      <c r="N185" s="2">
        <v>0</v>
      </c>
      <c r="O185" s="2">
        <v>0</v>
      </c>
      <c r="P185" s="6">
        <v>3.0000000000000001E-3</v>
      </c>
      <c r="Q185" s="6">
        <v>0.5</v>
      </c>
      <c r="R185" s="2">
        <v>1.4999999999999999E-4</v>
      </c>
      <c r="S185" s="4" t="s">
        <v>175</v>
      </c>
      <c r="T185" s="12">
        <v>2</v>
      </c>
      <c r="U185" s="7"/>
      <c r="V185" s="7"/>
      <c r="W185" s="8"/>
      <c r="X185" s="9"/>
      <c r="Y185" s="9"/>
      <c r="Z185" s="9"/>
      <c r="AA185" s="10"/>
      <c r="AB185" s="11"/>
      <c r="AC185"/>
      <c r="AD185"/>
      <c r="AE185"/>
      <c r="AF185"/>
      <c r="AG185"/>
    </row>
    <row r="186" spans="1:33" x14ac:dyDescent="0.2">
      <c r="A186" s="1" t="s">
        <v>85</v>
      </c>
      <c r="B186" s="5" t="s">
        <v>15</v>
      </c>
      <c r="C186" s="2"/>
      <c r="D186" s="3"/>
      <c r="E186" s="11" t="s">
        <v>174</v>
      </c>
      <c r="F186" s="2"/>
      <c r="G186" s="2">
        <v>0</v>
      </c>
      <c r="H186" s="11"/>
      <c r="I186" s="2"/>
      <c r="J186" s="2">
        <v>0</v>
      </c>
      <c r="K186" s="12" t="s">
        <v>46</v>
      </c>
      <c r="L186" s="2">
        <v>0.1</v>
      </c>
      <c r="M186" s="3">
        <v>31.864999999999998</v>
      </c>
      <c r="N186" s="2">
        <v>0</v>
      </c>
      <c r="O186" s="2">
        <v>0</v>
      </c>
      <c r="P186" s="6">
        <v>3.0000000000000001E-3</v>
      </c>
      <c r="Q186" s="6">
        <v>1</v>
      </c>
      <c r="R186" s="2">
        <v>2.9999999999999997E-4</v>
      </c>
      <c r="S186" s="4" t="s">
        <v>175</v>
      </c>
      <c r="T186" s="12">
        <v>2</v>
      </c>
      <c r="U186" s="7"/>
      <c r="V186" s="7"/>
      <c r="W186" s="8"/>
      <c r="X186" s="9"/>
      <c r="Y186" s="9"/>
      <c r="Z186" s="9"/>
      <c r="AA186" s="10"/>
      <c r="AB186" s="11"/>
      <c r="AC186"/>
      <c r="AD186"/>
      <c r="AE186"/>
      <c r="AF186"/>
      <c r="AG186"/>
    </row>
    <row r="187" spans="1:33" x14ac:dyDescent="0.2">
      <c r="A187" s="1" t="s">
        <v>85</v>
      </c>
      <c r="B187" s="5" t="s">
        <v>15</v>
      </c>
      <c r="C187" s="2"/>
      <c r="D187" s="3"/>
      <c r="E187" s="11" t="s">
        <v>174</v>
      </c>
      <c r="F187" s="2"/>
      <c r="G187" s="2">
        <v>0</v>
      </c>
      <c r="H187" s="11"/>
      <c r="I187" s="2"/>
      <c r="J187" s="2">
        <v>0</v>
      </c>
      <c r="K187" s="12" t="s">
        <v>46</v>
      </c>
      <c r="L187" s="2">
        <v>0.1</v>
      </c>
      <c r="M187" s="3">
        <v>31.864999999999998</v>
      </c>
      <c r="N187" s="2">
        <v>0</v>
      </c>
      <c r="O187" s="2">
        <v>0</v>
      </c>
      <c r="P187" s="6">
        <v>3.0000000000000001E-3</v>
      </c>
      <c r="Q187" s="6">
        <v>0.5</v>
      </c>
      <c r="R187" s="2">
        <v>1.4999999999999999E-4</v>
      </c>
      <c r="S187" s="4" t="s">
        <v>175</v>
      </c>
      <c r="T187" s="12">
        <v>2</v>
      </c>
      <c r="U187" s="7"/>
      <c r="V187" s="7"/>
      <c r="W187" s="8"/>
      <c r="X187" s="9"/>
      <c r="Y187" s="9"/>
      <c r="Z187" s="9"/>
      <c r="AA187" s="10"/>
      <c r="AB187" s="11"/>
      <c r="AC187"/>
      <c r="AD187"/>
      <c r="AE187"/>
      <c r="AF187"/>
      <c r="AG187"/>
    </row>
    <row r="188" spans="1:33" ht="25.5" x14ac:dyDescent="0.2">
      <c r="A188" s="1" t="s">
        <v>187</v>
      </c>
      <c r="B188" s="5" t="s">
        <v>15</v>
      </c>
      <c r="C188" s="2"/>
      <c r="D188" s="3"/>
      <c r="E188" s="11" t="s">
        <v>174</v>
      </c>
      <c r="F188" s="2"/>
      <c r="G188" s="2">
        <v>0</v>
      </c>
      <c r="H188" s="11"/>
      <c r="I188" s="2"/>
      <c r="J188" s="2">
        <v>0</v>
      </c>
      <c r="K188" s="12" t="s">
        <v>46</v>
      </c>
      <c r="L188" s="2">
        <v>0.1</v>
      </c>
      <c r="M188" s="3">
        <v>31.864999999999998</v>
      </c>
      <c r="N188" s="2">
        <v>0</v>
      </c>
      <c r="O188" s="2">
        <v>0</v>
      </c>
      <c r="P188" s="6">
        <v>1.5E-3</v>
      </c>
      <c r="Q188" s="6">
        <v>1</v>
      </c>
      <c r="R188" s="2">
        <v>1.4999999999999999E-4</v>
      </c>
      <c r="S188" s="4" t="s">
        <v>175</v>
      </c>
      <c r="T188" s="12">
        <v>2</v>
      </c>
      <c r="U188" s="7"/>
      <c r="V188" s="7"/>
      <c r="W188" s="8"/>
      <c r="X188" s="9"/>
      <c r="Y188" s="9"/>
      <c r="Z188" s="9"/>
      <c r="AA188" s="10"/>
      <c r="AB188" s="11"/>
      <c r="AC188"/>
      <c r="AD188"/>
      <c r="AE188"/>
      <c r="AF188"/>
      <c r="AG188"/>
    </row>
    <row r="189" spans="1:33" x14ac:dyDescent="0.2">
      <c r="A189" s="1" t="s">
        <v>88</v>
      </c>
      <c r="B189" s="5" t="s">
        <v>15</v>
      </c>
      <c r="C189" s="2"/>
      <c r="D189" s="3"/>
      <c r="E189" s="11" t="s">
        <v>35</v>
      </c>
      <c r="F189" s="2"/>
      <c r="G189" s="2">
        <v>0</v>
      </c>
      <c r="H189" s="11"/>
      <c r="I189" s="2"/>
      <c r="J189" s="2">
        <v>0</v>
      </c>
      <c r="K189" s="12" t="s">
        <v>22</v>
      </c>
      <c r="L189" s="2">
        <v>7.4999999999999997E-2</v>
      </c>
      <c r="M189" s="3">
        <v>23.89875</v>
      </c>
      <c r="N189" s="2">
        <v>0</v>
      </c>
      <c r="O189" s="2">
        <v>0</v>
      </c>
      <c r="P189" s="6">
        <v>1.6667000000000001E-2</v>
      </c>
      <c r="Q189" s="6">
        <v>1</v>
      </c>
      <c r="R189" s="2">
        <v>1.25E-3</v>
      </c>
      <c r="T189" s="12">
        <v>2</v>
      </c>
      <c r="U189" s="7"/>
      <c r="V189" s="7"/>
      <c r="W189" s="8"/>
      <c r="X189" s="9"/>
      <c r="Y189" s="9"/>
      <c r="Z189" s="9"/>
      <c r="AA189" s="10"/>
      <c r="AB189" s="11"/>
      <c r="AC189"/>
      <c r="AD189"/>
      <c r="AE189"/>
      <c r="AF189"/>
      <c r="AG189"/>
    </row>
    <row r="190" spans="1:33" x14ac:dyDescent="0.2">
      <c r="A190" s="1" t="s">
        <v>88</v>
      </c>
      <c r="B190" s="5" t="s">
        <v>15</v>
      </c>
      <c r="C190" s="2"/>
      <c r="D190" s="3"/>
      <c r="E190" s="11" t="s">
        <v>170</v>
      </c>
      <c r="F190" s="2"/>
      <c r="G190" s="2">
        <v>0</v>
      </c>
      <c r="H190" s="11"/>
      <c r="I190" s="2"/>
      <c r="J190" s="2">
        <v>0</v>
      </c>
      <c r="K190" s="12" t="s">
        <v>43</v>
      </c>
      <c r="L190" s="2">
        <v>0.2</v>
      </c>
      <c r="M190" s="3">
        <v>63.73</v>
      </c>
      <c r="N190" s="2">
        <v>0</v>
      </c>
      <c r="O190" s="2">
        <v>0</v>
      </c>
      <c r="P190" s="6">
        <v>1.6667000000000001E-2</v>
      </c>
      <c r="Q190" s="6">
        <v>1</v>
      </c>
      <c r="R190" s="2">
        <v>3.333E-3</v>
      </c>
      <c r="T190" s="12">
        <v>2</v>
      </c>
      <c r="U190" s="7"/>
      <c r="V190" s="7"/>
      <c r="W190" s="8"/>
      <c r="X190" s="9"/>
      <c r="Y190" s="9"/>
      <c r="Z190" s="9"/>
      <c r="AA190" s="10"/>
      <c r="AB190" s="11"/>
      <c r="AC190"/>
      <c r="AD190"/>
      <c r="AE190"/>
      <c r="AF190"/>
      <c r="AG190"/>
    </row>
    <row r="191" spans="1:33" x14ac:dyDescent="0.2">
      <c r="A191" s="1" t="s">
        <v>92</v>
      </c>
      <c r="B191" s="5" t="s">
        <v>15</v>
      </c>
      <c r="C191" s="2"/>
      <c r="D191" s="3"/>
      <c r="E191" s="11" t="s">
        <v>35</v>
      </c>
      <c r="F191" s="2"/>
      <c r="G191" s="2">
        <v>0</v>
      </c>
      <c r="H191" s="11"/>
      <c r="I191" s="2"/>
      <c r="J191" s="2">
        <v>0</v>
      </c>
      <c r="K191" s="12" t="s">
        <v>22</v>
      </c>
      <c r="L191" s="2">
        <v>7.4999999999999997E-2</v>
      </c>
      <c r="M191" s="3">
        <v>23.89875</v>
      </c>
      <c r="N191" s="2">
        <v>0</v>
      </c>
      <c r="O191" s="2">
        <v>0</v>
      </c>
      <c r="P191" s="6">
        <v>8.3330000000000001E-3</v>
      </c>
      <c r="Q191" s="6">
        <v>0.4</v>
      </c>
      <c r="R191" s="2">
        <v>2.5000000000000001E-4</v>
      </c>
      <c r="T191" s="12">
        <v>2</v>
      </c>
      <c r="U191" s="7"/>
      <c r="V191" s="7"/>
      <c r="W191" s="8"/>
      <c r="X191" s="9"/>
      <c r="Y191" s="9"/>
      <c r="Z191" s="9"/>
      <c r="AA191" s="10"/>
      <c r="AB191" s="11"/>
      <c r="AC191"/>
      <c r="AD191"/>
      <c r="AE191"/>
      <c r="AF191"/>
      <c r="AG191"/>
    </row>
    <row r="192" spans="1:33" x14ac:dyDescent="0.2">
      <c r="A192" s="1" t="s">
        <v>92</v>
      </c>
      <c r="B192" s="5" t="s">
        <v>15</v>
      </c>
      <c r="C192" s="2"/>
      <c r="D192" s="3"/>
      <c r="E192" s="11" t="s">
        <v>170</v>
      </c>
      <c r="F192" s="2"/>
      <c r="G192" s="2">
        <v>0</v>
      </c>
      <c r="H192" s="11"/>
      <c r="I192" s="2"/>
      <c r="J192" s="2">
        <v>0</v>
      </c>
      <c r="K192" s="12" t="s">
        <v>43</v>
      </c>
      <c r="L192" s="2">
        <v>0.2</v>
      </c>
      <c r="M192" s="3">
        <v>63.73</v>
      </c>
      <c r="N192" s="2">
        <v>0</v>
      </c>
      <c r="O192" s="2">
        <v>0</v>
      </c>
      <c r="P192" s="6">
        <v>8.3330000000000001E-3</v>
      </c>
      <c r="Q192" s="6">
        <v>0.4</v>
      </c>
      <c r="R192" s="2">
        <v>6.6699999999999995E-4</v>
      </c>
      <c r="S192" s="4" t="s">
        <v>44</v>
      </c>
      <c r="T192" s="12">
        <v>2</v>
      </c>
      <c r="U192" s="7"/>
      <c r="V192" s="7"/>
      <c r="W192" s="8"/>
      <c r="X192" s="9"/>
      <c r="Y192" s="9"/>
      <c r="Z192" s="9"/>
      <c r="AA192" s="10"/>
      <c r="AB192" s="11"/>
      <c r="AC192"/>
      <c r="AD192"/>
      <c r="AE192"/>
      <c r="AF192"/>
      <c r="AG192"/>
    </row>
    <row r="193" spans="1:33" x14ac:dyDescent="0.2">
      <c r="A193" s="1" t="s">
        <v>96</v>
      </c>
      <c r="B193" s="5" t="s">
        <v>15</v>
      </c>
      <c r="C193" s="2"/>
      <c r="D193" s="3"/>
      <c r="E193" s="11" t="s">
        <v>162</v>
      </c>
      <c r="F193" s="2"/>
      <c r="G193" s="2">
        <v>0</v>
      </c>
      <c r="H193" s="11"/>
      <c r="I193" s="2"/>
      <c r="J193" s="2">
        <v>0</v>
      </c>
      <c r="K193" s="12" t="s">
        <v>30</v>
      </c>
      <c r="L193" s="2">
        <v>0.52500000000000002</v>
      </c>
      <c r="M193" s="3">
        <v>167.29124999999999</v>
      </c>
      <c r="N193" s="2">
        <v>0</v>
      </c>
      <c r="O193" s="2">
        <v>0</v>
      </c>
      <c r="P193" s="6">
        <v>3.3333000000000002E-2</v>
      </c>
      <c r="Q193" s="6">
        <v>3.125E-2</v>
      </c>
      <c r="R193" s="2">
        <v>5.4699999999999996E-4</v>
      </c>
      <c r="T193" s="12">
        <v>2</v>
      </c>
      <c r="U193" s="7"/>
      <c r="V193" s="7"/>
      <c r="W193" s="8"/>
      <c r="X193" s="9"/>
      <c r="Y193" s="9"/>
      <c r="Z193" s="9"/>
      <c r="AA193" s="10"/>
      <c r="AB193" s="11"/>
      <c r="AC193"/>
      <c r="AD193"/>
      <c r="AE193"/>
      <c r="AF193"/>
      <c r="AG193"/>
    </row>
    <row r="194" spans="1:33" x14ac:dyDescent="0.2">
      <c r="A194" s="1" t="s">
        <v>96</v>
      </c>
      <c r="B194" s="5" t="s">
        <v>15</v>
      </c>
      <c r="C194" s="2"/>
      <c r="D194" s="3"/>
      <c r="E194" s="11" t="s">
        <v>74</v>
      </c>
      <c r="F194" s="2"/>
      <c r="G194" s="2">
        <v>0</v>
      </c>
      <c r="H194" s="11"/>
      <c r="I194" s="2"/>
      <c r="J194" s="2">
        <v>0</v>
      </c>
      <c r="K194" s="12" t="s">
        <v>32</v>
      </c>
      <c r="L194" s="2">
        <v>0.1</v>
      </c>
      <c r="M194" s="3">
        <v>31.864999999999998</v>
      </c>
      <c r="N194" s="2">
        <v>0</v>
      </c>
      <c r="O194" s="2">
        <v>0</v>
      </c>
      <c r="P194" s="6">
        <v>0.05</v>
      </c>
      <c r="Q194" s="6">
        <v>3.125E-2</v>
      </c>
      <c r="R194" s="2">
        <v>1.56E-4</v>
      </c>
      <c r="T194" s="12">
        <v>2</v>
      </c>
      <c r="U194" s="7"/>
      <c r="V194" s="7"/>
      <c r="W194" s="8"/>
      <c r="X194" s="9"/>
      <c r="Y194" s="9"/>
      <c r="Z194" s="9"/>
      <c r="AA194" s="10"/>
      <c r="AB194" s="11"/>
      <c r="AC194"/>
      <c r="AD194"/>
      <c r="AE194"/>
      <c r="AF194"/>
      <c r="AG194"/>
    </row>
    <row r="195" spans="1:33" x14ac:dyDescent="0.2">
      <c r="A195" s="1" t="s">
        <v>110</v>
      </c>
      <c r="B195" s="5" t="s">
        <v>15</v>
      </c>
      <c r="C195" s="2"/>
      <c r="D195" s="3"/>
      <c r="E195" s="11" t="s">
        <v>170</v>
      </c>
      <c r="F195" s="2"/>
      <c r="G195" s="2">
        <v>0</v>
      </c>
      <c r="H195" s="11"/>
      <c r="I195" s="2"/>
      <c r="J195" s="2">
        <v>0</v>
      </c>
      <c r="K195" s="12" t="s">
        <v>43</v>
      </c>
      <c r="L195" s="2">
        <v>0.2</v>
      </c>
      <c r="M195" s="3">
        <v>63.73</v>
      </c>
      <c r="N195" s="2">
        <v>0</v>
      </c>
      <c r="O195" s="2">
        <v>0</v>
      </c>
      <c r="P195" s="6">
        <v>8.3330000000000001E-3</v>
      </c>
      <c r="Q195" s="6">
        <v>3.0000000000000001E-3</v>
      </c>
      <c r="R195" s="2">
        <v>5.0000000000000004E-6</v>
      </c>
      <c r="S195" s="4" t="s">
        <v>44</v>
      </c>
      <c r="T195" s="12">
        <v>2</v>
      </c>
      <c r="U195" s="7"/>
      <c r="V195" s="7"/>
      <c r="W195" s="8"/>
      <c r="X195" s="9"/>
      <c r="Y195" s="9"/>
      <c r="Z195" s="9"/>
      <c r="AA195" s="10"/>
      <c r="AB195" s="11"/>
      <c r="AC195"/>
      <c r="AD195"/>
      <c r="AE195"/>
      <c r="AF195"/>
      <c r="AG195"/>
    </row>
    <row r="196" spans="1:33" x14ac:dyDescent="0.2">
      <c r="A196" s="1" t="s">
        <v>110</v>
      </c>
      <c r="B196" s="5" t="s">
        <v>15</v>
      </c>
      <c r="C196" s="2"/>
      <c r="D196" s="3"/>
      <c r="E196" s="11" t="s">
        <v>35</v>
      </c>
      <c r="F196" s="2"/>
      <c r="G196" s="2">
        <v>0</v>
      </c>
      <c r="H196" s="11"/>
      <c r="I196" s="2"/>
      <c r="J196" s="2">
        <v>0</v>
      </c>
      <c r="K196" s="12" t="s">
        <v>22</v>
      </c>
      <c r="L196" s="2">
        <v>7.4999999999999997E-2</v>
      </c>
      <c r="M196" s="3">
        <v>23.89875</v>
      </c>
      <c r="N196" s="2">
        <v>0</v>
      </c>
      <c r="O196" s="2">
        <v>0</v>
      </c>
      <c r="P196" s="6">
        <v>8.3330000000000001E-3</v>
      </c>
      <c r="Q196" s="6">
        <v>3.0000000000000001E-3</v>
      </c>
      <c r="R196" s="2">
        <v>1.9999999999999999E-6</v>
      </c>
      <c r="T196" s="12">
        <v>2</v>
      </c>
      <c r="U196" s="7"/>
      <c r="V196" s="7"/>
      <c r="W196" s="8"/>
      <c r="X196" s="9"/>
      <c r="Y196" s="9"/>
      <c r="Z196" s="9"/>
      <c r="AA196" s="10"/>
      <c r="AB196" s="11"/>
      <c r="AC196"/>
      <c r="AD196"/>
      <c r="AE196"/>
      <c r="AF196"/>
      <c r="AG196"/>
    </row>
    <row r="197" spans="1:33" x14ac:dyDescent="0.2">
      <c r="A197" s="1" t="s">
        <v>114</v>
      </c>
      <c r="B197" s="5" t="s">
        <v>15</v>
      </c>
      <c r="C197" s="2"/>
      <c r="D197" s="3"/>
      <c r="E197" s="11" t="s">
        <v>174</v>
      </c>
      <c r="F197" s="2"/>
      <c r="G197" s="2">
        <v>0</v>
      </c>
      <c r="H197" s="11"/>
      <c r="I197" s="2"/>
      <c r="J197" s="2">
        <v>0</v>
      </c>
      <c r="K197" s="12" t="s">
        <v>46</v>
      </c>
      <c r="L197" s="2">
        <v>0.1</v>
      </c>
      <c r="M197" s="3">
        <v>31.864999999999998</v>
      </c>
      <c r="N197" s="2">
        <v>0</v>
      </c>
      <c r="O197" s="2">
        <v>0</v>
      </c>
      <c r="P197" s="6">
        <v>3.0000000000000001E-3</v>
      </c>
      <c r="Q197" s="6">
        <v>0.5</v>
      </c>
      <c r="R197" s="2">
        <v>1.4999999999999999E-4</v>
      </c>
      <c r="S197" s="4" t="s">
        <v>175</v>
      </c>
      <c r="T197" s="12">
        <v>2</v>
      </c>
      <c r="U197" s="7"/>
      <c r="V197" s="7"/>
      <c r="W197" s="8"/>
      <c r="X197" s="9"/>
      <c r="Y197" s="9"/>
      <c r="Z197" s="9"/>
      <c r="AA197" s="10"/>
      <c r="AB197" s="11"/>
      <c r="AC197"/>
      <c r="AD197"/>
      <c r="AE197"/>
      <c r="AF197"/>
      <c r="AG197"/>
    </row>
    <row r="198" spans="1:33" x14ac:dyDescent="0.2">
      <c r="A198" s="1" t="s">
        <v>117</v>
      </c>
      <c r="B198" s="5" t="s">
        <v>15</v>
      </c>
      <c r="C198" s="2"/>
      <c r="D198" s="3"/>
      <c r="E198" s="11" t="s">
        <v>174</v>
      </c>
      <c r="F198" s="2"/>
      <c r="G198" s="2">
        <v>0</v>
      </c>
      <c r="H198" s="11"/>
      <c r="I198" s="2"/>
      <c r="J198" s="2">
        <v>0</v>
      </c>
      <c r="K198" s="12" t="s">
        <v>46</v>
      </c>
      <c r="L198" s="2">
        <v>0.1</v>
      </c>
      <c r="M198" s="3">
        <v>31.864999999999998</v>
      </c>
      <c r="N198" s="2">
        <v>0</v>
      </c>
      <c r="O198" s="2">
        <v>0</v>
      </c>
      <c r="P198" s="6">
        <v>3.0000000000000001E-3</v>
      </c>
      <c r="Q198" s="6">
        <v>0.5</v>
      </c>
      <c r="R198" s="2">
        <v>1.4999999999999999E-4</v>
      </c>
      <c r="S198" s="4" t="s">
        <v>175</v>
      </c>
      <c r="T198" s="12">
        <v>2</v>
      </c>
      <c r="U198" s="7"/>
      <c r="V198" s="7"/>
      <c r="W198" s="8"/>
      <c r="X198" s="9"/>
      <c r="Y198" s="9"/>
      <c r="Z198" s="9"/>
      <c r="AA198" s="10"/>
      <c r="AB198" s="11"/>
      <c r="AC198"/>
      <c r="AD198"/>
      <c r="AE198"/>
      <c r="AF198"/>
      <c r="AG198"/>
    </row>
    <row r="199" spans="1:33" x14ac:dyDescent="0.2">
      <c r="A199" s="1" t="s">
        <v>137</v>
      </c>
      <c r="B199" s="5" t="s">
        <v>15</v>
      </c>
      <c r="C199" s="2"/>
      <c r="D199" s="3"/>
      <c r="E199" s="11" t="s">
        <v>162</v>
      </c>
      <c r="F199" s="2"/>
      <c r="G199" s="2">
        <v>0</v>
      </c>
      <c r="H199" s="11"/>
      <c r="I199" s="2"/>
      <c r="J199" s="2">
        <v>0</v>
      </c>
      <c r="K199" s="12" t="s">
        <v>30</v>
      </c>
      <c r="L199" s="2">
        <v>0.52500000000000002</v>
      </c>
      <c r="M199" s="3">
        <v>167.29124999999999</v>
      </c>
      <c r="N199" s="2">
        <v>0</v>
      </c>
      <c r="O199" s="2">
        <v>0</v>
      </c>
      <c r="P199" s="6">
        <v>3.3333000000000002E-2</v>
      </c>
      <c r="Q199" s="6">
        <v>6.25E-2</v>
      </c>
      <c r="R199" s="2">
        <v>1.0939999999999999E-3</v>
      </c>
      <c r="T199" s="12">
        <v>2</v>
      </c>
      <c r="U199" s="7"/>
      <c r="V199" s="7"/>
      <c r="W199" s="8"/>
      <c r="X199" s="9"/>
      <c r="Y199" s="9"/>
      <c r="Z199" s="9"/>
      <c r="AA199" s="10"/>
      <c r="AB199" s="11"/>
      <c r="AC199"/>
      <c r="AD199"/>
      <c r="AE199"/>
      <c r="AF199"/>
      <c r="AG199"/>
    </row>
    <row r="200" spans="1:33" x14ac:dyDescent="0.2">
      <c r="A200" s="1" t="s">
        <v>137</v>
      </c>
      <c r="B200" s="5" t="s">
        <v>15</v>
      </c>
      <c r="C200" s="2"/>
      <c r="D200" s="3"/>
      <c r="E200" s="11" t="s">
        <v>74</v>
      </c>
      <c r="F200" s="2"/>
      <c r="G200" s="2">
        <v>0</v>
      </c>
      <c r="H200" s="11"/>
      <c r="I200" s="2"/>
      <c r="J200" s="2">
        <v>0</v>
      </c>
      <c r="K200" s="12" t="s">
        <v>32</v>
      </c>
      <c r="L200" s="2">
        <v>0.1</v>
      </c>
      <c r="M200" s="3">
        <v>31.864999999999998</v>
      </c>
      <c r="N200" s="2">
        <v>0</v>
      </c>
      <c r="O200" s="2">
        <v>0</v>
      </c>
      <c r="P200" s="6">
        <v>0.05</v>
      </c>
      <c r="Q200" s="6">
        <v>6.25E-2</v>
      </c>
      <c r="R200" s="2">
        <v>3.1300000000000002E-4</v>
      </c>
      <c r="T200" s="12">
        <v>2</v>
      </c>
      <c r="U200" s="7"/>
      <c r="V200" s="7"/>
      <c r="W200" s="8"/>
      <c r="X200" s="9"/>
      <c r="Y200" s="9"/>
      <c r="Z200" s="9"/>
      <c r="AA200" s="10"/>
      <c r="AB200" s="11"/>
      <c r="AC200"/>
      <c r="AD200"/>
      <c r="AE200"/>
      <c r="AF200"/>
      <c r="AG200"/>
    </row>
    <row r="201" spans="1:33" x14ac:dyDescent="0.2">
      <c r="A201" s="1" t="s">
        <v>139</v>
      </c>
      <c r="B201" s="5" t="s">
        <v>15</v>
      </c>
      <c r="C201" s="2"/>
      <c r="D201" s="3"/>
      <c r="E201" s="11" t="s">
        <v>162</v>
      </c>
      <c r="F201" s="2"/>
      <c r="G201" s="2">
        <v>0</v>
      </c>
      <c r="H201" s="11"/>
      <c r="I201" s="2"/>
      <c r="J201" s="2">
        <v>0</v>
      </c>
      <c r="K201" s="12" t="s">
        <v>30</v>
      </c>
      <c r="L201" s="2">
        <v>0.52500000000000002</v>
      </c>
      <c r="M201" s="3">
        <v>167.29124999999999</v>
      </c>
      <c r="N201" s="2">
        <v>0</v>
      </c>
      <c r="O201" s="2">
        <v>0</v>
      </c>
      <c r="P201" s="6">
        <v>3.3333000000000002E-2</v>
      </c>
      <c r="Q201" s="6">
        <v>0.125</v>
      </c>
      <c r="R201" s="2">
        <v>2.1879999999999998E-3</v>
      </c>
      <c r="T201" s="12">
        <v>2</v>
      </c>
      <c r="U201" s="7"/>
      <c r="V201" s="7"/>
      <c r="W201" s="8"/>
      <c r="X201" s="9"/>
      <c r="Y201" s="9"/>
      <c r="Z201" s="9"/>
      <c r="AA201" s="10"/>
      <c r="AB201" s="11"/>
      <c r="AC201"/>
      <c r="AD201"/>
      <c r="AE201"/>
      <c r="AF201"/>
      <c r="AG201"/>
    </row>
    <row r="202" spans="1:33" x14ac:dyDescent="0.2">
      <c r="A202" s="1" t="s">
        <v>139</v>
      </c>
      <c r="B202" s="5" t="s">
        <v>15</v>
      </c>
      <c r="C202" s="2"/>
      <c r="D202" s="3"/>
      <c r="E202" s="11" t="s">
        <v>74</v>
      </c>
      <c r="F202" s="2"/>
      <c r="G202" s="2">
        <v>0</v>
      </c>
      <c r="H202" s="11"/>
      <c r="I202" s="2"/>
      <c r="J202" s="2">
        <v>0</v>
      </c>
      <c r="K202" s="12" t="s">
        <v>32</v>
      </c>
      <c r="L202" s="2">
        <v>0.1</v>
      </c>
      <c r="M202" s="3">
        <v>31.864999999999998</v>
      </c>
      <c r="N202" s="2">
        <v>0</v>
      </c>
      <c r="O202" s="2">
        <v>0</v>
      </c>
      <c r="P202" s="6">
        <v>0.05</v>
      </c>
      <c r="Q202" s="6">
        <v>0.125</v>
      </c>
      <c r="R202" s="2">
        <v>6.2500000000000001E-4</v>
      </c>
      <c r="T202" s="12">
        <v>2</v>
      </c>
      <c r="U202" s="7"/>
      <c r="V202" s="7"/>
      <c r="W202" s="8"/>
      <c r="X202" s="9"/>
      <c r="Y202" s="9"/>
      <c r="Z202" s="9"/>
      <c r="AA202" s="10"/>
      <c r="AB202" s="11"/>
      <c r="AC202"/>
      <c r="AD202"/>
      <c r="AE202"/>
      <c r="AF202"/>
      <c r="AG202"/>
    </row>
    <row r="203" spans="1:33" ht="25.5" x14ac:dyDescent="0.2">
      <c r="A203" s="1" t="s">
        <v>211</v>
      </c>
      <c r="B203" s="5" t="s">
        <v>15</v>
      </c>
      <c r="C203" s="2"/>
      <c r="D203" s="3"/>
      <c r="E203" s="11" t="s">
        <v>174</v>
      </c>
      <c r="F203" s="2"/>
      <c r="G203" s="2">
        <v>0</v>
      </c>
      <c r="H203" s="11"/>
      <c r="I203" s="2"/>
      <c r="J203" s="2">
        <v>0</v>
      </c>
      <c r="K203" s="12" t="s">
        <v>46</v>
      </c>
      <c r="L203" s="2">
        <v>0.1</v>
      </c>
      <c r="M203" s="3">
        <v>31.864999999999998</v>
      </c>
      <c r="N203" s="2">
        <v>0</v>
      </c>
      <c r="O203" s="2">
        <v>0</v>
      </c>
      <c r="P203" s="6">
        <v>1.5E-3</v>
      </c>
      <c r="Q203" s="6">
        <v>1</v>
      </c>
      <c r="R203" s="2">
        <v>1.4999999999999999E-4</v>
      </c>
      <c r="S203" s="4" t="s">
        <v>175</v>
      </c>
      <c r="T203" s="12">
        <v>2</v>
      </c>
      <c r="U203" s="7"/>
      <c r="V203" s="7"/>
      <c r="W203" s="8"/>
      <c r="X203" s="9"/>
      <c r="Y203" s="9"/>
      <c r="Z203" s="9"/>
      <c r="AA203" s="10"/>
      <c r="AB203" s="11"/>
      <c r="AC203"/>
      <c r="AD203"/>
      <c r="AE203"/>
      <c r="AF203"/>
      <c r="AG203"/>
    </row>
    <row r="204" spans="1:33" ht="25.5" x14ac:dyDescent="0.2">
      <c r="A204" s="1" t="s">
        <v>218</v>
      </c>
      <c r="B204" s="5" t="s">
        <v>15</v>
      </c>
      <c r="C204" s="2"/>
      <c r="D204" s="3"/>
      <c r="E204" s="11" t="s">
        <v>174</v>
      </c>
      <c r="F204" s="2"/>
      <c r="G204" s="2">
        <v>0</v>
      </c>
      <c r="H204" s="11"/>
      <c r="I204" s="2"/>
      <c r="J204" s="2">
        <v>0</v>
      </c>
      <c r="K204" s="12" t="s">
        <v>46</v>
      </c>
      <c r="L204" s="2">
        <v>0.1</v>
      </c>
      <c r="M204" s="3">
        <v>31.864999999999998</v>
      </c>
      <c r="N204" s="2">
        <v>0</v>
      </c>
      <c r="O204" s="2">
        <v>0</v>
      </c>
      <c r="P204" s="6">
        <v>3.0000000000000001E-3</v>
      </c>
      <c r="Q204" s="6">
        <v>0.5</v>
      </c>
      <c r="R204" s="2">
        <v>1.4999999999999999E-4</v>
      </c>
      <c r="S204" s="4" t="s">
        <v>175</v>
      </c>
      <c r="T204" s="12">
        <v>2</v>
      </c>
      <c r="U204" s="7"/>
      <c r="V204" s="7"/>
      <c r="W204" s="8"/>
      <c r="X204" s="9"/>
      <c r="Y204" s="9"/>
      <c r="Z204" s="9"/>
      <c r="AA204" s="10"/>
      <c r="AB204" s="11"/>
      <c r="AC204"/>
      <c r="AD204"/>
      <c r="AE204"/>
      <c r="AF204"/>
      <c r="AG204"/>
    </row>
    <row r="205" spans="1:33" ht="25.5" x14ac:dyDescent="0.2">
      <c r="A205" s="1" t="s">
        <v>220</v>
      </c>
      <c r="B205" s="5" t="s">
        <v>15</v>
      </c>
      <c r="C205" s="2"/>
      <c r="D205" s="3"/>
      <c r="E205" s="11" t="s">
        <v>174</v>
      </c>
      <c r="F205" s="2"/>
      <c r="G205" s="2">
        <v>0</v>
      </c>
      <c r="H205" s="11"/>
      <c r="I205" s="2"/>
      <c r="J205" s="2">
        <v>0</v>
      </c>
      <c r="K205" s="12" t="s">
        <v>46</v>
      </c>
      <c r="L205" s="2">
        <v>0.1</v>
      </c>
      <c r="M205" s="3">
        <v>31.864999999999998</v>
      </c>
      <c r="N205" s="2">
        <v>0</v>
      </c>
      <c r="O205" s="2">
        <v>0</v>
      </c>
      <c r="P205" s="6">
        <v>3.0000000000000001E-3</v>
      </c>
      <c r="Q205" s="6">
        <v>0.5</v>
      </c>
      <c r="R205" s="2">
        <v>1.4999999999999999E-4</v>
      </c>
      <c r="S205" s="4" t="s">
        <v>175</v>
      </c>
      <c r="T205" s="12">
        <v>2</v>
      </c>
      <c r="U205" s="7"/>
      <c r="V205" s="7"/>
      <c r="W205" s="8"/>
      <c r="X205" s="9"/>
      <c r="Y205" s="9"/>
      <c r="Z205" s="9"/>
      <c r="AA205" s="10"/>
      <c r="AB205" s="11"/>
      <c r="AC205"/>
      <c r="AD205"/>
      <c r="AE205"/>
      <c r="AF205"/>
      <c r="AG205"/>
    </row>
    <row r="206" spans="1:33" ht="25.5" x14ac:dyDescent="0.2">
      <c r="A206" s="1" t="s">
        <v>152</v>
      </c>
      <c r="B206" s="5" t="s">
        <v>15</v>
      </c>
      <c r="C206" s="2"/>
      <c r="D206" s="3"/>
      <c r="E206" s="11" t="s">
        <v>74</v>
      </c>
      <c r="F206" s="2"/>
      <c r="G206" s="2">
        <v>0</v>
      </c>
      <c r="H206" s="11"/>
      <c r="I206" s="2"/>
      <c r="J206" s="2">
        <v>0</v>
      </c>
      <c r="K206" s="12" t="s">
        <v>32</v>
      </c>
      <c r="L206" s="2">
        <v>0.1</v>
      </c>
      <c r="M206" s="3">
        <v>31.864999999999998</v>
      </c>
      <c r="N206" s="2">
        <v>0</v>
      </c>
      <c r="O206" s="2">
        <v>0</v>
      </c>
      <c r="P206" s="6">
        <v>0.05</v>
      </c>
      <c r="Q206" s="6">
        <v>8.3349999999999994E-2</v>
      </c>
      <c r="R206" s="2">
        <v>4.17E-4</v>
      </c>
      <c r="T206" s="12">
        <v>2</v>
      </c>
      <c r="U206" s="7"/>
      <c r="V206" s="7"/>
      <c r="W206" s="8"/>
      <c r="X206" s="9"/>
      <c r="Y206" s="9"/>
      <c r="Z206" s="9"/>
      <c r="AA206" s="10"/>
      <c r="AB206" s="11"/>
      <c r="AC206"/>
      <c r="AD206"/>
      <c r="AE206"/>
      <c r="AF206"/>
      <c r="AG206"/>
    </row>
    <row r="207" spans="1:33" ht="25.5" x14ac:dyDescent="0.2">
      <c r="A207" s="1" t="s">
        <v>152</v>
      </c>
      <c r="B207" s="5" t="s">
        <v>15</v>
      </c>
      <c r="C207" s="2"/>
      <c r="D207" s="3"/>
      <c r="E207" s="11" t="s">
        <v>162</v>
      </c>
      <c r="F207" s="2"/>
      <c r="G207" s="2">
        <v>0</v>
      </c>
      <c r="H207" s="11"/>
      <c r="I207" s="2"/>
      <c r="J207" s="2">
        <v>0</v>
      </c>
      <c r="K207" s="12" t="s">
        <v>30</v>
      </c>
      <c r="L207" s="2">
        <v>0.52500000000000002</v>
      </c>
      <c r="M207" s="3">
        <v>167.29124999999999</v>
      </c>
      <c r="N207" s="2">
        <v>0</v>
      </c>
      <c r="O207" s="2">
        <v>0</v>
      </c>
      <c r="P207" s="6">
        <v>3.3333000000000002E-2</v>
      </c>
      <c r="Q207" s="6">
        <v>8.3349999999999994E-2</v>
      </c>
      <c r="R207" s="2">
        <v>1.459E-3</v>
      </c>
      <c r="T207" s="12">
        <v>2</v>
      </c>
      <c r="U207" s="7"/>
      <c r="V207" s="7"/>
      <c r="W207" s="8"/>
      <c r="X207" s="9"/>
      <c r="Y207" s="9"/>
      <c r="Z207" s="9"/>
      <c r="AA207" s="10"/>
      <c r="AB207" s="11"/>
      <c r="AC207"/>
      <c r="AD207"/>
      <c r="AE207"/>
      <c r="AF207"/>
      <c r="AG207"/>
    </row>
    <row r="208" spans="1:33" x14ac:dyDescent="0.2">
      <c r="A208" s="1" t="s">
        <v>221</v>
      </c>
      <c r="B208" s="5" t="s">
        <v>15</v>
      </c>
      <c r="C208" s="2"/>
      <c r="D208" s="3"/>
      <c r="E208" s="11" t="s">
        <v>174</v>
      </c>
      <c r="F208" s="2"/>
      <c r="G208" s="2">
        <v>0</v>
      </c>
      <c r="H208" s="11"/>
      <c r="I208" s="2"/>
      <c r="J208" s="2">
        <v>0</v>
      </c>
      <c r="K208" s="12" t="s">
        <v>46</v>
      </c>
      <c r="L208" s="2">
        <v>0.1</v>
      </c>
      <c r="M208" s="3">
        <v>31.864999999999998</v>
      </c>
      <c r="N208" s="2">
        <v>0</v>
      </c>
      <c r="O208" s="2">
        <v>0</v>
      </c>
      <c r="P208" s="6">
        <v>1.5E-3</v>
      </c>
      <c r="Q208" s="6">
        <v>0.5</v>
      </c>
      <c r="R208" s="2">
        <v>7.4999999999999993E-5</v>
      </c>
      <c r="S208" s="4" t="s">
        <v>175</v>
      </c>
      <c r="T208" s="12">
        <v>2</v>
      </c>
      <c r="U208" s="7"/>
      <c r="V208" s="7"/>
      <c r="W208" s="8"/>
      <c r="X208" s="9"/>
      <c r="Y208" s="9"/>
      <c r="Z208" s="9"/>
      <c r="AA208" s="10"/>
      <c r="AB208" s="11"/>
      <c r="AC208"/>
      <c r="AD208"/>
      <c r="AE208"/>
      <c r="AF208"/>
      <c r="AG208"/>
    </row>
    <row r="209" spans="1:33" x14ac:dyDescent="0.2">
      <c r="A209" s="1" t="s">
        <v>226</v>
      </c>
      <c r="B209" s="5" t="s">
        <v>15</v>
      </c>
      <c r="C209" s="2"/>
      <c r="D209" s="3"/>
      <c r="E209" s="11" t="s">
        <v>174</v>
      </c>
      <c r="F209" s="2"/>
      <c r="G209" s="2">
        <v>0</v>
      </c>
      <c r="H209" s="11"/>
      <c r="I209" s="2"/>
      <c r="J209" s="2">
        <v>0</v>
      </c>
      <c r="K209" s="12" t="s">
        <v>46</v>
      </c>
      <c r="L209" s="2">
        <v>0.1</v>
      </c>
      <c r="M209" s="3">
        <v>31.864999999999998</v>
      </c>
      <c r="N209" s="2">
        <v>0</v>
      </c>
      <c r="O209" s="2">
        <v>0</v>
      </c>
      <c r="P209" s="6">
        <v>1.5E-3</v>
      </c>
      <c r="Q209" s="6">
        <v>0.5</v>
      </c>
      <c r="R209" s="2">
        <v>7.4999999999999993E-5</v>
      </c>
      <c r="S209" s="4" t="s">
        <v>175</v>
      </c>
      <c r="T209" s="12">
        <v>2</v>
      </c>
      <c r="U209" s="7"/>
      <c r="V209" s="7"/>
      <c r="W209" s="8"/>
      <c r="X209" s="9"/>
      <c r="Y209" s="9"/>
      <c r="Z209" s="9"/>
      <c r="AA209" s="10"/>
      <c r="AB209" s="11"/>
      <c r="AC209"/>
      <c r="AD209"/>
      <c r="AE209"/>
      <c r="AF209"/>
      <c r="AG209"/>
    </row>
    <row r="210" spans="1:33" x14ac:dyDescent="0.2">
      <c r="A210" s="1" t="s">
        <v>156</v>
      </c>
      <c r="B210" s="5" t="s">
        <v>15</v>
      </c>
      <c r="C210" s="2"/>
      <c r="D210" s="3"/>
      <c r="E210" s="11" t="s">
        <v>35</v>
      </c>
      <c r="F210" s="2"/>
      <c r="G210" s="2">
        <v>0</v>
      </c>
      <c r="H210" s="11"/>
      <c r="I210" s="2"/>
      <c r="J210" s="2">
        <v>0</v>
      </c>
      <c r="K210" s="12" t="s">
        <v>22</v>
      </c>
      <c r="L210" s="2">
        <v>7.4999999999999997E-2</v>
      </c>
      <c r="M210" s="3">
        <v>23.89875</v>
      </c>
      <c r="N210" s="2">
        <v>0</v>
      </c>
      <c r="O210" s="2">
        <v>0</v>
      </c>
      <c r="P210" s="6">
        <v>8.3330000000000001E-3</v>
      </c>
      <c r="Q210" s="6">
        <v>0.6</v>
      </c>
      <c r="R210" s="2">
        <v>3.7500000000000001E-4</v>
      </c>
      <c r="T210" s="12">
        <v>2</v>
      </c>
      <c r="U210" s="7"/>
      <c r="V210" s="7"/>
      <c r="W210" s="8"/>
      <c r="X210" s="9"/>
      <c r="Y210" s="9"/>
      <c r="Z210" s="9"/>
      <c r="AA210" s="10"/>
      <c r="AB210" s="11"/>
      <c r="AC210"/>
      <c r="AD210"/>
      <c r="AE210"/>
      <c r="AF210"/>
      <c r="AG210"/>
    </row>
    <row r="211" spans="1:33" x14ac:dyDescent="0.2">
      <c r="A211" s="1" t="s">
        <v>156</v>
      </c>
      <c r="B211" s="5" t="s">
        <v>15</v>
      </c>
      <c r="C211" s="2"/>
      <c r="D211" s="3"/>
      <c r="E211" s="11" t="s">
        <v>170</v>
      </c>
      <c r="F211" s="2"/>
      <c r="G211" s="2">
        <v>0</v>
      </c>
      <c r="H211" s="11"/>
      <c r="I211" s="2"/>
      <c r="J211" s="2">
        <v>0</v>
      </c>
      <c r="K211" s="12" t="s">
        <v>43</v>
      </c>
      <c r="L211" s="2">
        <v>0.2</v>
      </c>
      <c r="M211" s="3">
        <v>63.73</v>
      </c>
      <c r="N211" s="2">
        <v>0</v>
      </c>
      <c r="O211" s="2">
        <v>0</v>
      </c>
      <c r="P211" s="6">
        <v>8.3330000000000001E-3</v>
      </c>
      <c r="Q211" s="6">
        <v>0.6</v>
      </c>
      <c r="R211" s="2">
        <v>1E-3</v>
      </c>
      <c r="S211" s="4" t="s">
        <v>44</v>
      </c>
      <c r="T211" s="12">
        <v>2</v>
      </c>
      <c r="U211" s="7"/>
      <c r="V211" s="7"/>
      <c r="W211" s="8"/>
      <c r="X211" s="9"/>
      <c r="Y211" s="9"/>
      <c r="Z211" s="9"/>
      <c r="AA211" s="10"/>
      <c r="AB211" s="11"/>
      <c r="AC211"/>
      <c r="AD211"/>
      <c r="AE211"/>
      <c r="AF211"/>
      <c r="AG211"/>
    </row>
    <row r="212" spans="1:33" x14ac:dyDescent="0.2">
      <c r="A212" s="1" t="s">
        <v>159</v>
      </c>
      <c r="B212" s="5" t="s">
        <v>15</v>
      </c>
      <c r="C212" s="2"/>
      <c r="D212" s="3"/>
      <c r="E212" s="11" t="s">
        <v>162</v>
      </c>
      <c r="F212" s="2"/>
      <c r="G212" s="2">
        <v>0</v>
      </c>
      <c r="H212" s="11"/>
      <c r="I212" s="2"/>
      <c r="J212" s="2">
        <v>0</v>
      </c>
      <c r="K212" s="12" t="s">
        <v>30</v>
      </c>
      <c r="L212" s="2">
        <v>0.52500000000000002</v>
      </c>
      <c r="M212" s="3">
        <v>167.29124999999999</v>
      </c>
      <c r="N212" s="2">
        <v>0</v>
      </c>
      <c r="O212" s="2">
        <v>0</v>
      </c>
      <c r="P212" s="6">
        <v>3.3333000000000002E-2</v>
      </c>
      <c r="Q212" s="6">
        <v>6.25E-2</v>
      </c>
      <c r="R212" s="2">
        <v>1.0939999999999999E-3</v>
      </c>
      <c r="T212" s="12">
        <v>2</v>
      </c>
      <c r="U212" s="7"/>
      <c r="V212" s="7"/>
      <c r="W212" s="8"/>
      <c r="X212" s="9"/>
      <c r="Y212" s="9"/>
      <c r="Z212" s="9"/>
      <c r="AA212" s="10"/>
      <c r="AB212" s="11"/>
      <c r="AC212"/>
      <c r="AD212"/>
      <c r="AE212"/>
      <c r="AF212"/>
      <c r="AG212"/>
    </row>
    <row r="213" spans="1:33" x14ac:dyDescent="0.2">
      <c r="A213" s="1" t="s">
        <v>159</v>
      </c>
      <c r="B213" s="5" t="s">
        <v>15</v>
      </c>
      <c r="C213" s="2"/>
      <c r="D213" s="3"/>
      <c r="E213" s="11" t="s">
        <v>74</v>
      </c>
      <c r="F213" s="2"/>
      <c r="G213" s="2">
        <v>0</v>
      </c>
      <c r="H213" s="11"/>
      <c r="I213" s="2"/>
      <c r="J213" s="2">
        <v>0</v>
      </c>
      <c r="K213" s="12" t="s">
        <v>32</v>
      </c>
      <c r="L213" s="2">
        <v>0.1</v>
      </c>
      <c r="M213" s="3">
        <v>31.864999999999998</v>
      </c>
      <c r="N213" s="2">
        <v>0</v>
      </c>
      <c r="O213" s="2">
        <v>0</v>
      </c>
      <c r="P213" s="6">
        <v>0.05</v>
      </c>
      <c r="Q213" s="6">
        <v>6.25E-2</v>
      </c>
      <c r="R213" s="2">
        <v>3.1300000000000002E-4</v>
      </c>
      <c r="T213" s="12">
        <v>2</v>
      </c>
      <c r="U213" s="7"/>
      <c r="V213" s="7"/>
      <c r="W213" s="8"/>
      <c r="X213" s="9"/>
      <c r="Y213" s="9"/>
      <c r="Z213" s="9"/>
      <c r="AA213" s="10"/>
      <c r="AB213" s="11"/>
      <c r="AC213"/>
      <c r="AD213"/>
      <c r="AE213"/>
      <c r="AF213"/>
      <c r="AG213"/>
    </row>
    <row r="214" spans="1:33" x14ac:dyDescent="0.2">
      <c r="A214" s="1" t="s">
        <v>79</v>
      </c>
      <c r="B214" s="5" t="s">
        <v>52</v>
      </c>
      <c r="C214" s="2">
        <v>1.8870999999999999E-2</v>
      </c>
      <c r="D214" s="3">
        <v>6.0131610000000002</v>
      </c>
      <c r="E214" s="11" t="s">
        <v>162</v>
      </c>
      <c r="F214" s="2"/>
      <c r="G214" s="2">
        <v>0</v>
      </c>
      <c r="H214" s="11"/>
      <c r="I214" s="2">
        <v>0.83333332999999998</v>
      </c>
      <c r="J214" s="2">
        <v>3.3333000000000002E-2</v>
      </c>
      <c r="K214" s="12" t="s">
        <v>30</v>
      </c>
      <c r="M214" s="3"/>
      <c r="N214" s="2">
        <v>0</v>
      </c>
      <c r="O214" s="2">
        <v>0</v>
      </c>
      <c r="P214" s="6">
        <v>0</v>
      </c>
      <c r="Q214" s="6">
        <v>0</v>
      </c>
      <c r="R214" s="2">
        <v>1.5096999999999999E-2</v>
      </c>
      <c r="T214" s="12">
        <v>2</v>
      </c>
      <c r="U214" s="7"/>
      <c r="V214" s="7"/>
      <c r="W214" s="8"/>
      <c r="X214" s="9"/>
      <c r="Y214" s="9"/>
      <c r="Z214" s="9"/>
      <c r="AA214" s="10"/>
      <c r="AB214" s="11"/>
      <c r="AC214"/>
      <c r="AD214"/>
      <c r="AE214"/>
      <c r="AF214"/>
      <c r="AG214"/>
    </row>
    <row r="215" spans="1:33" x14ac:dyDescent="0.2">
      <c r="A215" s="1" t="s">
        <v>79</v>
      </c>
      <c r="B215" s="5" t="s">
        <v>52</v>
      </c>
      <c r="C215" s="2">
        <v>2.7886999999999999E-2</v>
      </c>
      <c r="D215" s="3">
        <v>8.8862120000000004</v>
      </c>
      <c r="E215" s="11" t="s">
        <v>162</v>
      </c>
      <c r="F215" s="2"/>
      <c r="G215" s="2">
        <v>0</v>
      </c>
      <c r="H215" s="11"/>
      <c r="I215" s="2">
        <v>0.83333332999999998</v>
      </c>
      <c r="J215" s="2">
        <v>3.3333000000000002E-2</v>
      </c>
      <c r="K215" s="12" t="s">
        <v>30</v>
      </c>
      <c r="M215" s="3"/>
      <c r="N215" s="2">
        <v>0</v>
      </c>
      <c r="O215" s="2">
        <v>0</v>
      </c>
      <c r="P215" s="6">
        <v>0</v>
      </c>
      <c r="Q215" s="6">
        <v>0</v>
      </c>
      <c r="R215" s="2">
        <v>2.231E-2</v>
      </c>
      <c r="T215" s="12">
        <v>2</v>
      </c>
      <c r="U215" s="7"/>
      <c r="V215" s="7"/>
      <c r="W215" s="8"/>
      <c r="X215" s="9"/>
      <c r="Y215" s="9"/>
      <c r="Z215" s="9"/>
      <c r="AA215" s="10"/>
      <c r="AB215" s="11"/>
      <c r="AC215"/>
      <c r="AD215"/>
      <c r="AE215"/>
      <c r="AF215"/>
      <c r="AG215"/>
    </row>
    <row r="216" spans="1:33" x14ac:dyDescent="0.2">
      <c r="A216" s="1" t="s">
        <v>79</v>
      </c>
      <c r="B216" s="5" t="s">
        <v>52</v>
      </c>
      <c r="C216" s="2">
        <v>5.3119999999999999E-3</v>
      </c>
      <c r="D216" s="3">
        <v>1.6926110000000001</v>
      </c>
      <c r="E216" s="11" t="s">
        <v>74</v>
      </c>
      <c r="F216" s="2"/>
      <c r="G216" s="2">
        <v>0</v>
      </c>
      <c r="H216" s="11"/>
      <c r="I216" s="2">
        <v>0.85</v>
      </c>
      <c r="J216" s="2">
        <v>0.05</v>
      </c>
      <c r="K216" s="12" t="s">
        <v>32</v>
      </c>
      <c r="M216" s="3"/>
      <c r="N216" s="2">
        <v>0</v>
      </c>
      <c r="O216" s="2">
        <v>0</v>
      </c>
      <c r="P216" s="6">
        <v>0</v>
      </c>
      <c r="Q216" s="6">
        <v>0</v>
      </c>
      <c r="R216" s="2">
        <v>4.2490000000000002E-3</v>
      </c>
      <c r="T216" s="12">
        <v>2</v>
      </c>
      <c r="U216" s="7"/>
      <c r="V216" s="7"/>
      <c r="W216" s="8"/>
      <c r="X216" s="9"/>
      <c r="Y216" s="9"/>
      <c r="Z216" s="9"/>
      <c r="AA216" s="10"/>
      <c r="AB216" s="11"/>
      <c r="AC216"/>
      <c r="AD216"/>
      <c r="AE216"/>
      <c r="AF216"/>
      <c r="AG216"/>
    </row>
    <row r="217" spans="1:33" x14ac:dyDescent="0.2">
      <c r="A217" s="1" t="s">
        <v>79</v>
      </c>
      <c r="B217" s="5" t="s">
        <v>52</v>
      </c>
      <c r="C217" s="2">
        <v>3.594E-3</v>
      </c>
      <c r="D217" s="3">
        <v>1.145365</v>
      </c>
      <c r="E217" s="11" t="s">
        <v>74</v>
      </c>
      <c r="F217" s="2"/>
      <c r="G217" s="2">
        <v>0</v>
      </c>
      <c r="H217" s="11"/>
      <c r="I217" s="2">
        <v>0.85</v>
      </c>
      <c r="J217" s="2">
        <v>0.05</v>
      </c>
      <c r="K217" s="12" t="s">
        <v>32</v>
      </c>
      <c r="M217" s="3"/>
      <c r="N217" s="2">
        <v>0</v>
      </c>
      <c r="O217" s="2">
        <v>0</v>
      </c>
      <c r="P217" s="6">
        <v>0</v>
      </c>
      <c r="Q217" s="6">
        <v>0</v>
      </c>
      <c r="R217" s="2">
        <v>2.8760000000000001E-3</v>
      </c>
      <c r="T217" s="12">
        <v>2</v>
      </c>
      <c r="U217" s="7"/>
      <c r="V217" s="7"/>
      <c r="W217" s="8"/>
      <c r="X217" s="9"/>
      <c r="Y217" s="9"/>
      <c r="Z217" s="9"/>
      <c r="AA217" s="10"/>
      <c r="AB217" s="11"/>
      <c r="AC217"/>
      <c r="AD217"/>
      <c r="AE217"/>
      <c r="AF217"/>
      <c r="AG217"/>
    </row>
    <row r="218" spans="1:33" x14ac:dyDescent="0.2">
      <c r="A218" s="1" t="s">
        <v>79</v>
      </c>
      <c r="B218" s="5" t="s">
        <v>52</v>
      </c>
      <c r="C218" s="2">
        <v>9.9299999999999996E-4</v>
      </c>
      <c r="D218" s="3">
        <v>0.31648300000000001</v>
      </c>
      <c r="E218" s="11" t="s">
        <v>162</v>
      </c>
      <c r="F218" s="2"/>
      <c r="G218" s="2">
        <v>0</v>
      </c>
      <c r="H218" s="11"/>
      <c r="I218" s="2">
        <v>0.83333332999999998</v>
      </c>
      <c r="J218" s="2">
        <v>3.3333000000000002E-2</v>
      </c>
      <c r="K218" s="12" t="s">
        <v>30</v>
      </c>
      <c r="M218" s="3"/>
      <c r="N218" s="2">
        <v>0</v>
      </c>
      <c r="O218" s="2">
        <v>0</v>
      </c>
      <c r="P218" s="6">
        <v>0</v>
      </c>
      <c r="Q218" s="6">
        <v>0</v>
      </c>
      <c r="R218" s="2">
        <v>7.9500000000000003E-4</v>
      </c>
      <c r="T218" s="12">
        <v>2</v>
      </c>
      <c r="U218" s="7"/>
      <c r="V218" s="7"/>
      <c r="W218" s="8"/>
      <c r="X218" s="9"/>
      <c r="Y218" s="9"/>
      <c r="Z218" s="9"/>
      <c r="AA218" s="10"/>
      <c r="AB218" s="11"/>
      <c r="AC218"/>
      <c r="AD218"/>
      <c r="AE218"/>
      <c r="AF218"/>
      <c r="AG218"/>
    </row>
    <row r="219" spans="1:33" x14ac:dyDescent="0.2">
      <c r="A219" s="1" t="s">
        <v>79</v>
      </c>
      <c r="B219" s="5" t="s">
        <v>52</v>
      </c>
      <c r="C219" s="2">
        <v>1.4679999999999999E-3</v>
      </c>
      <c r="D219" s="3">
        <v>0.46769500000000003</v>
      </c>
      <c r="E219" s="11" t="s">
        <v>162</v>
      </c>
      <c r="F219" s="2"/>
      <c r="G219" s="2">
        <v>0</v>
      </c>
      <c r="H219" s="11"/>
      <c r="I219" s="2">
        <v>0.83333332999999998</v>
      </c>
      <c r="J219" s="2">
        <v>3.3333000000000002E-2</v>
      </c>
      <c r="K219" s="12" t="s">
        <v>30</v>
      </c>
      <c r="M219" s="3"/>
      <c r="N219" s="2">
        <v>0</v>
      </c>
      <c r="O219" s="2">
        <v>0</v>
      </c>
      <c r="P219" s="6">
        <v>0</v>
      </c>
      <c r="Q219" s="6">
        <v>0</v>
      </c>
      <c r="R219" s="2">
        <v>1.1739999999999999E-3</v>
      </c>
      <c r="T219" s="12">
        <v>2</v>
      </c>
      <c r="U219" s="7"/>
      <c r="V219" s="7"/>
      <c r="W219" s="8"/>
      <c r="X219" s="9"/>
      <c r="Y219" s="9"/>
      <c r="Z219" s="9"/>
      <c r="AA219" s="10"/>
      <c r="AB219" s="11"/>
      <c r="AC219"/>
      <c r="AD219"/>
      <c r="AE219"/>
      <c r="AF219"/>
      <c r="AG219"/>
    </row>
    <row r="220" spans="1:33" x14ac:dyDescent="0.2">
      <c r="A220" s="1" t="s">
        <v>79</v>
      </c>
      <c r="B220" s="5" t="s">
        <v>52</v>
      </c>
      <c r="C220" s="2">
        <v>2.7999999999999998E-4</v>
      </c>
      <c r="D220" s="3">
        <v>8.9084999999999998E-2</v>
      </c>
      <c r="E220" s="11" t="s">
        <v>74</v>
      </c>
      <c r="F220" s="2"/>
      <c r="G220" s="2">
        <v>0</v>
      </c>
      <c r="H220" s="11"/>
      <c r="I220" s="2">
        <v>0.85</v>
      </c>
      <c r="J220" s="2">
        <v>0.05</v>
      </c>
      <c r="K220" s="12" t="s">
        <v>32</v>
      </c>
      <c r="M220" s="3"/>
      <c r="N220" s="2">
        <v>0</v>
      </c>
      <c r="O220" s="2">
        <v>0</v>
      </c>
      <c r="P220" s="6">
        <v>0</v>
      </c>
      <c r="Q220" s="6">
        <v>0</v>
      </c>
      <c r="R220" s="2">
        <v>2.24E-4</v>
      </c>
      <c r="T220" s="12">
        <v>2</v>
      </c>
      <c r="U220" s="7"/>
      <c r="V220" s="7"/>
      <c r="W220" s="8"/>
      <c r="X220" s="9"/>
      <c r="Y220" s="9"/>
      <c r="Z220" s="9"/>
      <c r="AA220" s="10"/>
      <c r="AB220" s="11"/>
      <c r="AC220"/>
      <c r="AD220"/>
      <c r="AE220"/>
      <c r="AF220"/>
      <c r="AG220"/>
    </row>
    <row r="221" spans="1:33" x14ac:dyDescent="0.2">
      <c r="A221" s="1" t="s">
        <v>79</v>
      </c>
      <c r="B221" s="5" t="s">
        <v>52</v>
      </c>
      <c r="C221" s="2">
        <v>1.8900000000000001E-4</v>
      </c>
      <c r="D221" s="3">
        <v>6.0282000000000002E-2</v>
      </c>
      <c r="E221" s="11" t="s">
        <v>74</v>
      </c>
      <c r="F221" s="2"/>
      <c r="G221" s="2">
        <v>0</v>
      </c>
      <c r="H221" s="11"/>
      <c r="I221" s="2">
        <v>0.85</v>
      </c>
      <c r="J221" s="2">
        <v>0.05</v>
      </c>
      <c r="K221" s="12" t="s">
        <v>32</v>
      </c>
      <c r="M221" s="3"/>
      <c r="N221" s="2">
        <v>0</v>
      </c>
      <c r="O221" s="2">
        <v>0</v>
      </c>
      <c r="P221" s="6">
        <v>0</v>
      </c>
      <c r="Q221" s="6">
        <v>0</v>
      </c>
      <c r="R221" s="2">
        <v>1.5100000000000001E-4</v>
      </c>
      <c r="T221" s="12">
        <v>2</v>
      </c>
      <c r="U221" s="7"/>
      <c r="V221" s="7"/>
      <c r="W221" s="8"/>
      <c r="X221" s="9"/>
      <c r="Y221" s="9"/>
      <c r="Z221" s="9"/>
      <c r="AA221" s="10"/>
      <c r="AB221" s="11"/>
      <c r="AC221"/>
      <c r="AD221"/>
      <c r="AE221"/>
      <c r="AF221"/>
      <c r="AG221"/>
    </row>
    <row r="222" spans="1:33" x14ac:dyDescent="0.2">
      <c r="A222" s="1" t="s">
        <v>82</v>
      </c>
      <c r="B222" s="5" t="s">
        <v>52</v>
      </c>
      <c r="C222" s="2">
        <v>2.5000000000000001E-2</v>
      </c>
      <c r="D222" s="3">
        <v>7.9662499999999996</v>
      </c>
      <c r="E222" s="11" t="s">
        <v>74</v>
      </c>
      <c r="F222" s="2"/>
      <c r="G222" s="2">
        <v>0</v>
      </c>
      <c r="H222" s="11"/>
      <c r="I222" s="2">
        <v>0.85</v>
      </c>
      <c r="J222" s="2">
        <v>0.05</v>
      </c>
      <c r="K222" s="12" t="s">
        <v>32</v>
      </c>
      <c r="M222" s="3"/>
      <c r="N222" s="2">
        <v>0</v>
      </c>
      <c r="O222" s="2">
        <v>0</v>
      </c>
      <c r="P222" s="6">
        <v>0</v>
      </c>
      <c r="Q222" s="6">
        <v>0</v>
      </c>
      <c r="R222" s="2">
        <v>0.02</v>
      </c>
      <c r="T222" s="12">
        <v>2</v>
      </c>
      <c r="U222" s="7"/>
      <c r="V222" s="7"/>
      <c r="W222" s="8"/>
      <c r="X222" s="9"/>
      <c r="Y222" s="9"/>
      <c r="Z222" s="9"/>
      <c r="AA222" s="10"/>
      <c r="AB222" s="11"/>
      <c r="AC222"/>
      <c r="AD222"/>
      <c r="AE222"/>
      <c r="AF222"/>
      <c r="AG222"/>
    </row>
    <row r="223" spans="1:33" x14ac:dyDescent="0.2">
      <c r="A223" s="1" t="s">
        <v>82</v>
      </c>
      <c r="B223" s="5" t="s">
        <v>52</v>
      </c>
      <c r="C223" s="2">
        <v>0.13125000000000001</v>
      </c>
      <c r="D223" s="3">
        <v>41.822814000000001</v>
      </c>
      <c r="E223" s="11" t="s">
        <v>162</v>
      </c>
      <c r="F223" s="2"/>
      <c r="G223" s="2">
        <v>0</v>
      </c>
      <c r="H223" s="11"/>
      <c r="I223" s="2">
        <v>0.83333332999999998</v>
      </c>
      <c r="J223" s="2">
        <v>3.3333000000000002E-2</v>
      </c>
      <c r="K223" s="12" t="s">
        <v>30</v>
      </c>
      <c r="M223" s="3"/>
      <c r="N223" s="2">
        <v>0</v>
      </c>
      <c r="O223" s="2">
        <v>0</v>
      </c>
      <c r="P223" s="6">
        <v>0</v>
      </c>
      <c r="Q223" s="6">
        <v>0</v>
      </c>
      <c r="R223" s="2">
        <v>0.105</v>
      </c>
      <c r="T223" s="12">
        <v>2</v>
      </c>
      <c r="U223" s="7"/>
      <c r="V223" s="7"/>
      <c r="W223" s="8"/>
      <c r="X223" s="9"/>
      <c r="Y223" s="9"/>
      <c r="Z223" s="9"/>
      <c r="AA223" s="10"/>
      <c r="AB223" s="11"/>
      <c r="AC223"/>
      <c r="AD223"/>
      <c r="AE223"/>
      <c r="AF223"/>
      <c r="AG223"/>
    </row>
    <row r="224" spans="1:33" x14ac:dyDescent="0.2">
      <c r="A224" s="1" t="s">
        <v>82</v>
      </c>
      <c r="B224" s="5" t="s">
        <v>52</v>
      </c>
      <c r="C224" s="2">
        <v>4.6900000000000002E-4</v>
      </c>
      <c r="D224" s="3">
        <v>0.149367</v>
      </c>
      <c r="E224" s="11" t="s">
        <v>74</v>
      </c>
      <c r="F224" s="2"/>
      <c r="G224" s="2">
        <v>0</v>
      </c>
      <c r="H224" s="11"/>
      <c r="I224" s="2">
        <v>0.85</v>
      </c>
      <c r="J224" s="2">
        <v>0.05</v>
      </c>
      <c r="K224" s="12" t="s">
        <v>32</v>
      </c>
      <c r="M224" s="3"/>
      <c r="N224" s="2">
        <v>0</v>
      </c>
      <c r="O224" s="2">
        <v>0</v>
      </c>
      <c r="P224" s="6">
        <v>0</v>
      </c>
      <c r="Q224" s="6">
        <v>0</v>
      </c>
      <c r="R224" s="2">
        <v>3.7500000000000001E-4</v>
      </c>
      <c r="T224" s="12">
        <v>2</v>
      </c>
      <c r="U224" s="7"/>
      <c r="V224" s="7"/>
      <c r="W224" s="8"/>
      <c r="X224" s="9"/>
      <c r="Y224" s="9"/>
      <c r="Z224" s="9"/>
      <c r="AA224" s="10"/>
      <c r="AB224" s="11"/>
      <c r="AC224"/>
      <c r="AD224"/>
      <c r="AE224"/>
      <c r="AF224"/>
      <c r="AG224"/>
    </row>
    <row r="225" spans="1:33" x14ac:dyDescent="0.2">
      <c r="A225" s="1" t="s">
        <v>82</v>
      </c>
      <c r="B225" s="5" t="s">
        <v>52</v>
      </c>
      <c r="C225" s="2">
        <v>5.3437999999999999E-2</v>
      </c>
      <c r="D225" s="3">
        <v>17.027858999999999</v>
      </c>
      <c r="E225" s="11" t="s">
        <v>74</v>
      </c>
      <c r="F225" s="2"/>
      <c r="G225" s="2">
        <v>0</v>
      </c>
      <c r="H225" s="11"/>
      <c r="I225" s="2">
        <v>0.85</v>
      </c>
      <c r="J225" s="2">
        <v>0.05</v>
      </c>
      <c r="K225" s="12" t="s">
        <v>32</v>
      </c>
      <c r="M225" s="3"/>
      <c r="N225" s="2">
        <v>0</v>
      </c>
      <c r="O225" s="2">
        <v>0</v>
      </c>
      <c r="P225" s="6">
        <v>0</v>
      </c>
      <c r="Q225" s="6">
        <v>0</v>
      </c>
      <c r="R225" s="2">
        <v>4.2750000000000003E-2</v>
      </c>
      <c r="T225" s="12">
        <v>2</v>
      </c>
      <c r="U225" s="7"/>
      <c r="V225" s="7"/>
      <c r="W225" s="8"/>
      <c r="X225" s="9"/>
      <c r="Y225" s="9"/>
      <c r="Z225" s="9"/>
      <c r="AA225" s="10"/>
      <c r="AB225" s="11"/>
      <c r="AC225"/>
      <c r="AD225"/>
      <c r="AE225"/>
      <c r="AF225"/>
      <c r="AG225"/>
    </row>
    <row r="226" spans="1:33" x14ac:dyDescent="0.2">
      <c r="A226" s="1" t="s">
        <v>82</v>
      </c>
      <c r="B226" s="5" t="s">
        <v>52</v>
      </c>
      <c r="C226" s="2">
        <v>4.6758000000000001E-2</v>
      </c>
      <c r="D226" s="3">
        <v>14.899376</v>
      </c>
      <c r="E226" s="11" t="s">
        <v>162</v>
      </c>
      <c r="F226" s="2"/>
      <c r="G226" s="2">
        <v>0</v>
      </c>
      <c r="H226" s="11"/>
      <c r="I226" s="2">
        <v>0.83333332999999998</v>
      </c>
      <c r="J226" s="2">
        <v>3.3333000000000002E-2</v>
      </c>
      <c r="K226" s="12" t="s">
        <v>30</v>
      </c>
      <c r="M226" s="3"/>
      <c r="N226" s="2">
        <v>0</v>
      </c>
      <c r="O226" s="2">
        <v>0</v>
      </c>
      <c r="P226" s="6">
        <v>0</v>
      </c>
      <c r="Q226" s="6">
        <v>0</v>
      </c>
      <c r="R226" s="2">
        <v>3.7406000000000002E-2</v>
      </c>
      <c r="T226" s="12">
        <v>2</v>
      </c>
      <c r="U226" s="7"/>
      <c r="V226" s="7"/>
      <c r="W226" s="8"/>
      <c r="X226" s="9"/>
      <c r="Y226" s="9"/>
      <c r="Z226" s="9"/>
      <c r="AA226" s="10"/>
      <c r="AB226" s="11"/>
      <c r="AC226"/>
      <c r="AD226"/>
      <c r="AE226"/>
      <c r="AF226"/>
      <c r="AG226"/>
    </row>
    <row r="227" spans="1:33" x14ac:dyDescent="0.2">
      <c r="A227" s="1" t="s">
        <v>82</v>
      </c>
      <c r="B227" s="5" t="s">
        <v>52</v>
      </c>
      <c r="C227" s="2">
        <v>2.4610000000000001E-3</v>
      </c>
      <c r="D227" s="3">
        <v>0.78417899999999996</v>
      </c>
      <c r="E227" s="11" t="s">
        <v>162</v>
      </c>
      <c r="F227" s="2"/>
      <c r="G227" s="2">
        <v>0</v>
      </c>
      <c r="H227" s="11"/>
      <c r="I227" s="2">
        <v>0.83333332999999998</v>
      </c>
      <c r="J227" s="2">
        <v>3.3333000000000002E-2</v>
      </c>
      <c r="K227" s="12" t="s">
        <v>30</v>
      </c>
      <c r="M227" s="3"/>
      <c r="N227" s="2">
        <v>0</v>
      </c>
      <c r="O227" s="2">
        <v>0</v>
      </c>
      <c r="P227" s="6">
        <v>0</v>
      </c>
      <c r="Q227" s="6">
        <v>0</v>
      </c>
      <c r="R227" s="2">
        <v>1.9689999999999998E-3</v>
      </c>
      <c r="T227" s="12">
        <v>2</v>
      </c>
      <c r="U227" s="7"/>
      <c r="V227" s="7"/>
      <c r="W227" s="8"/>
      <c r="X227" s="9"/>
      <c r="Y227" s="9"/>
      <c r="Z227" s="9"/>
      <c r="AA227" s="10"/>
      <c r="AB227" s="11"/>
      <c r="AC227"/>
      <c r="AD227"/>
      <c r="AE227"/>
      <c r="AF227"/>
      <c r="AG227"/>
    </row>
    <row r="228" spans="1:33" x14ac:dyDescent="0.2">
      <c r="A228" s="1" t="s">
        <v>82</v>
      </c>
      <c r="B228" s="5" t="s">
        <v>52</v>
      </c>
      <c r="C228" s="2">
        <v>1.4766E-2</v>
      </c>
      <c r="D228" s="3">
        <v>4.7050679999999998</v>
      </c>
      <c r="E228" s="11" t="s">
        <v>162</v>
      </c>
      <c r="F228" s="2"/>
      <c r="G228" s="2">
        <v>0</v>
      </c>
      <c r="H228" s="11"/>
      <c r="I228" s="2">
        <v>0.83333332999999998</v>
      </c>
      <c r="J228" s="2">
        <v>3.3333000000000002E-2</v>
      </c>
      <c r="K228" s="12" t="s">
        <v>30</v>
      </c>
      <c r="M228" s="3"/>
      <c r="N228" s="2">
        <v>0</v>
      </c>
      <c r="O228" s="2">
        <v>0</v>
      </c>
      <c r="P228" s="6">
        <v>0</v>
      </c>
      <c r="Q228" s="6">
        <v>0</v>
      </c>
      <c r="R228" s="2">
        <v>1.1813000000000001E-2</v>
      </c>
      <c r="T228" s="12">
        <v>2</v>
      </c>
      <c r="U228" s="7"/>
      <c r="V228" s="7"/>
      <c r="W228" s="8"/>
      <c r="X228" s="9"/>
      <c r="Y228" s="9"/>
      <c r="Z228" s="9"/>
      <c r="AA228" s="10"/>
      <c r="AB228" s="11"/>
      <c r="AC228"/>
      <c r="AD228"/>
      <c r="AE228"/>
      <c r="AF228"/>
      <c r="AG228"/>
    </row>
    <row r="229" spans="1:33" x14ac:dyDescent="0.2">
      <c r="A229" s="1" t="s">
        <v>82</v>
      </c>
      <c r="B229" s="5" t="s">
        <v>52</v>
      </c>
      <c r="C229" s="2">
        <v>8.9060000000000007E-3</v>
      </c>
      <c r="D229" s="3">
        <v>2.837977</v>
      </c>
      <c r="E229" s="11" t="s">
        <v>74</v>
      </c>
      <c r="F229" s="2"/>
      <c r="G229" s="2">
        <v>0</v>
      </c>
      <c r="H229" s="11"/>
      <c r="I229" s="2">
        <v>0.85</v>
      </c>
      <c r="J229" s="2">
        <v>0.05</v>
      </c>
      <c r="K229" s="12" t="s">
        <v>32</v>
      </c>
      <c r="M229" s="3"/>
      <c r="N229" s="2">
        <v>0</v>
      </c>
      <c r="O229" s="2">
        <v>0</v>
      </c>
      <c r="P229" s="6">
        <v>0</v>
      </c>
      <c r="Q229" s="6">
        <v>0</v>
      </c>
      <c r="R229" s="2">
        <v>7.1250000000000003E-3</v>
      </c>
      <c r="T229" s="12">
        <v>2</v>
      </c>
      <c r="U229" s="7"/>
      <c r="V229" s="7"/>
      <c r="W229" s="8"/>
      <c r="X229" s="9"/>
      <c r="Y229" s="9"/>
      <c r="Z229" s="9"/>
      <c r="AA229" s="10"/>
      <c r="AB229" s="11"/>
      <c r="AC229"/>
      <c r="AD229"/>
      <c r="AE229"/>
      <c r="AF229"/>
      <c r="AG229"/>
    </row>
    <row r="230" spans="1:33" x14ac:dyDescent="0.2">
      <c r="A230" s="1" t="s">
        <v>82</v>
      </c>
      <c r="B230" s="5" t="s">
        <v>52</v>
      </c>
      <c r="C230" s="2">
        <v>0.28054699999999999</v>
      </c>
      <c r="D230" s="3">
        <v>89.396263000000005</v>
      </c>
      <c r="E230" s="11" t="s">
        <v>162</v>
      </c>
      <c r="F230" s="2"/>
      <c r="G230" s="2">
        <v>0</v>
      </c>
      <c r="H230" s="11"/>
      <c r="I230" s="2">
        <v>0.83333332999999998</v>
      </c>
      <c r="J230" s="2">
        <v>3.3333000000000002E-2</v>
      </c>
      <c r="K230" s="12" t="s">
        <v>30</v>
      </c>
      <c r="M230" s="3"/>
      <c r="N230" s="2">
        <v>0</v>
      </c>
      <c r="O230" s="2">
        <v>0</v>
      </c>
      <c r="P230" s="6">
        <v>0</v>
      </c>
      <c r="Q230" s="6">
        <v>0</v>
      </c>
      <c r="R230" s="2">
        <v>0.224438</v>
      </c>
      <c r="T230" s="12">
        <v>2</v>
      </c>
      <c r="U230" s="7"/>
      <c r="V230" s="7"/>
      <c r="W230" s="8"/>
      <c r="X230" s="9"/>
      <c r="Y230" s="9"/>
      <c r="Z230" s="9"/>
      <c r="AA230" s="10"/>
      <c r="AB230" s="11"/>
      <c r="AC230"/>
      <c r="AD230"/>
      <c r="AE230"/>
      <c r="AF230"/>
      <c r="AG230"/>
    </row>
    <row r="231" spans="1:33" x14ac:dyDescent="0.2">
      <c r="A231" s="1" t="s">
        <v>82</v>
      </c>
      <c r="B231" s="5" t="s">
        <v>52</v>
      </c>
      <c r="C231" s="2">
        <v>2.813E-3</v>
      </c>
      <c r="D231" s="3">
        <v>0.89620299999999997</v>
      </c>
      <c r="E231" s="11" t="s">
        <v>74</v>
      </c>
      <c r="F231" s="2"/>
      <c r="G231" s="2">
        <v>0</v>
      </c>
      <c r="H231" s="11"/>
      <c r="I231" s="2">
        <v>0.85</v>
      </c>
      <c r="J231" s="2">
        <v>0.05</v>
      </c>
      <c r="K231" s="12" t="s">
        <v>32</v>
      </c>
      <c r="M231" s="3"/>
      <c r="N231" s="2">
        <v>0</v>
      </c>
      <c r="O231" s="2">
        <v>0</v>
      </c>
      <c r="P231" s="6">
        <v>0</v>
      </c>
      <c r="Q231" s="6">
        <v>0</v>
      </c>
      <c r="R231" s="2">
        <v>2.2499999999999998E-3</v>
      </c>
      <c r="T231" s="12">
        <v>2</v>
      </c>
      <c r="U231" s="7"/>
      <c r="V231" s="7"/>
      <c r="W231" s="8"/>
      <c r="X231" s="9"/>
      <c r="Y231" s="9"/>
      <c r="Z231" s="9"/>
      <c r="AA231" s="10"/>
      <c r="AB231" s="11"/>
      <c r="AC231"/>
      <c r="AD231"/>
      <c r="AE231"/>
      <c r="AF231"/>
      <c r="AG231"/>
    </row>
    <row r="232" spans="1:33" x14ac:dyDescent="0.2">
      <c r="A232" s="1" t="s">
        <v>83</v>
      </c>
      <c r="B232" s="5" t="s">
        <v>52</v>
      </c>
      <c r="C232" s="2">
        <v>0.1</v>
      </c>
      <c r="D232" s="3">
        <v>31.864999999999998</v>
      </c>
      <c r="E232" s="11" t="s">
        <v>174</v>
      </c>
      <c r="F232" s="2"/>
      <c r="G232" s="2">
        <v>0</v>
      </c>
      <c r="H232" s="11"/>
      <c r="I232" s="2">
        <v>0.85</v>
      </c>
      <c r="J232" s="2">
        <v>0.03</v>
      </c>
      <c r="K232" s="12" t="s">
        <v>46</v>
      </c>
      <c r="M232" s="3"/>
      <c r="N232" s="2">
        <v>0</v>
      </c>
      <c r="O232" s="2">
        <v>0</v>
      </c>
      <c r="P232" s="6">
        <v>0</v>
      </c>
      <c r="Q232" s="6">
        <v>0</v>
      </c>
      <c r="R232" s="2">
        <v>8.2000000000000003E-2</v>
      </c>
      <c r="S232" s="4" t="s">
        <v>26</v>
      </c>
      <c r="T232" s="12">
        <v>2</v>
      </c>
      <c r="U232" s="7"/>
      <c r="V232" s="7"/>
      <c r="W232" s="8"/>
      <c r="X232" s="9"/>
      <c r="Y232" s="9"/>
      <c r="Z232" s="9"/>
      <c r="AA232" s="10"/>
      <c r="AB232" s="11"/>
      <c r="AC232"/>
      <c r="AD232"/>
      <c r="AE232"/>
      <c r="AF232"/>
      <c r="AG232"/>
    </row>
    <row r="233" spans="1:33" x14ac:dyDescent="0.2">
      <c r="A233" s="1" t="s">
        <v>120</v>
      </c>
      <c r="B233" s="5" t="s">
        <v>52</v>
      </c>
      <c r="C233" s="2">
        <v>4.4999999999999998E-2</v>
      </c>
      <c r="D233" s="3">
        <v>14.33925</v>
      </c>
      <c r="E233" s="11" t="s">
        <v>35</v>
      </c>
      <c r="F233" s="2"/>
      <c r="G233" s="2">
        <v>0</v>
      </c>
      <c r="H233" s="11"/>
      <c r="I233" s="2">
        <v>0.83333332999999998</v>
      </c>
      <c r="J233" s="2">
        <v>3.3334000000000003E-2</v>
      </c>
      <c r="K233" s="12" t="s">
        <v>22</v>
      </c>
      <c r="M233" s="3"/>
      <c r="N233" s="2">
        <v>0</v>
      </c>
      <c r="O233" s="2">
        <v>0</v>
      </c>
      <c r="P233" s="6">
        <v>0</v>
      </c>
      <c r="Q233" s="6">
        <v>0</v>
      </c>
      <c r="R233" s="2">
        <v>3.5999999999999997E-2</v>
      </c>
      <c r="T233" s="12">
        <v>2</v>
      </c>
      <c r="U233" s="7"/>
      <c r="V233" s="7"/>
      <c r="W233" s="8"/>
      <c r="X233" s="9"/>
      <c r="Y233" s="9"/>
      <c r="Z233" s="9"/>
      <c r="AA233" s="10"/>
      <c r="AB233" s="11"/>
      <c r="AC233"/>
      <c r="AD233"/>
      <c r="AE233"/>
      <c r="AF233"/>
      <c r="AG233"/>
    </row>
    <row r="234" spans="1:33" x14ac:dyDescent="0.2">
      <c r="A234" s="1" t="s">
        <v>120</v>
      </c>
      <c r="B234" s="5" t="s">
        <v>52</v>
      </c>
      <c r="C234" s="2">
        <v>0.12</v>
      </c>
      <c r="D234" s="3">
        <v>38.238</v>
      </c>
      <c r="E234" s="11" t="s">
        <v>170</v>
      </c>
      <c r="F234" s="2"/>
      <c r="G234" s="2">
        <v>0</v>
      </c>
      <c r="H234" s="11"/>
      <c r="I234" s="2">
        <v>0.8125</v>
      </c>
      <c r="J234" s="2">
        <v>3.3333000000000002E-2</v>
      </c>
      <c r="K234" s="12" t="s">
        <v>43</v>
      </c>
      <c r="M234" s="3"/>
      <c r="N234" s="2">
        <v>0</v>
      </c>
      <c r="O234" s="2">
        <v>0</v>
      </c>
      <c r="P234" s="6">
        <v>0</v>
      </c>
      <c r="Q234" s="6">
        <v>0</v>
      </c>
      <c r="R234" s="2">
        <v>9.35E-2</v>
      </c>
      <c r="T234" s="12">
        <v>2</v>
      </c>
      <c r="U234" s="7"/>
      <c r="V234" s="7"/>
      <c r="W234" s="8"/>
      <c r="X234" s="9"/>
      <c r="Y234" s="9"/>
      <c r="Z234" s="9"/>
      <c r="AA234" s="10"/>
      <c r="AB234" s="11"/>
      <c r="AC234"/>
      <c r="AD234"/>
      <c r="AE234"/>
      <c r="AF234"/>
      <c r="AG234"/>
    </row>
    <row r="235" spans="1:33" x14ac:dyDescent="0.2">
      <c r="A235" s="1" t="s">
        <v>121</v>
      </c>
      <c r="B235" s="5" t="s">
        <v>52</v>
      </c>
      <c r="C235" s="2">
        <v>0.03</v>
      </c>
      <c r="D235" s="3">
        <v>9.5594999999999999</v>
      </c>
      <c r="E235" s="11" t="s">
        <v>35</v>
      </c>
      <c r="F235" s="2"/>
      <c r="G235" s="2">
        <v>0</v>
      </c>
      <c r="H235" s="11"/>
      <c r="I235" s="2">
        <v>0.83333332999999998</v>
      </c>
      <c r="J235" s="2">
        <v>3.3334000000000003E-2</v>
      </c>
      <c r="K235" s="12" t="s">
        <v>22</v>
      </c>
      <c r="M235" s="3"/>
      <c r="N235" s="2">
        <v>0</v>
      </c>
      <c r="O235" s="2">
        <v>0</v>
      </c>
      <c r="P235" s="6">
        <v>0</v>
      </c>
      <c r="Q235" s="6">
        <v>0</v>
      </c>
      <c r="R235" s="2">
        <v>2.4E-2</v>
      </c>
      <c r="T235" s="12">
        <v>2</v>
      </c>
      <c r="U235" s="7"/>
      <c r="V235" s="7"/>
      <c r="W235" s="8"/>
      <c r="X235" s="9"/>
      <c r="Y235" s="9"/>
      <c r="Z235" s="9"/>
      <c r="AA235" s="10"/>
      <c r="AB235" s="11"/>
      <c r="AC235"/>
      <c r="AD235"/>
      <c r="AE235"/>
      <c r="AF235"/>
      <c r="AG235"/>
    </row>
    <row r="236" spans="1:33" x14ac:dyDescent="0.2">
      <c r="A236" s="1" t="s">
        <v>121</v>
      </c>
      <c r="B236" s="5" t="s">
        <v>52</v>
      </c>
      <c r="C236" s="2">
        <v>0.08</v>
      </c>
      <c r="D236" s="3">
        <v>25.492000000000001</v>
      </c>
      <c r="E236" s="11" t="s">
        <v>170</v>
      </c>
      <c r="F236" s="2"/>
      <c r="G236" s="2">
        <v>0</v>
      </c>
      <c r="H236" s="11"/>
      <c r="I236" s="2">
        <v>0.8125</v>
      </c>
      <c r="J236" s="2">
        <v>3.3333000000000002E-2</v>
      </c>
      <c r="K236" s="12" t="s">
        <v>43</v>
      </c>
      <c r="M236" s="3"/>
      <c r="N236" s="2">
        <v>0</v>
      </c>
      <c r="O236" s="2">
        <v>0</v>
      </c>
      <c r="P236" s="6">
        <v>0</v>
      </c>
      <c r="Q236" s="6">
        <v>0</v>
      </c>
      <c r="R236" s="2">
        <v>6.2333E-2</v>
      </c>
      <c r="T236" s="12">
        <v>2</v>
      </c>
      <c r="U236" s="7"/>
      <c r="V236" s="7"/>
      <c r="W236" s="8"/>
      <c r="X236" s="9"/>
      <c r="Y236" s="9"/>
      <c r="Z236" s="9"/>
      <c r="AA236" s="10"/>
      <c r="AB236" s="11"/>
      <c r="AC236"/>
      <c r="AD236"/>
      <c r="AE236"/>
      <c r="AF236"/>
      <c r="AG236"/>
    </row>
    <row r="237" spans="1:33" x14ac:dyDescent="0.2">
      <c r="A237" s="1" t="s">
        <v>171</v>
      </c>
      <c r="B237" s="5" t="s">
        <v>21</v>
      </c>
      <c r="C237" s="2">
        <v>8.3333000000000004E-2</v>
      </c>
      <c r="D237" s="3">
        <v>20.000001999999999</v>
      </c>
      <c r="E237" s="11" t="s">
        <v>43</v>
      </c>
      <c r="F237" s="2">
        <v>0.16666666999999999</v>
      </c>
      <c r="G237" s="2">
        <v>0</v>
      </c>
      <c r="H237" s="11"/>
      <c r="I237" s="2"/>
      <c r="J237" s="2">
        <v>0</v>
      </c>
      <c r="K237" s="12"/>
      <c r="M237" s="3"/>
      <c r="N237" s="2">
        <v>0</v>
      </c>
      <c r="O237" s="2">
        <v>0</v>
      </c>
      <c r="P237" s="6">
        <v>0</v>
      </c>
      <c r="Q237" s="6">
        <v>0</v>
      </c>
      <c r="R237" s="2">
        <v>1.3889E-2</v>
      </c>
      <c r="T237" s="12">
        <v>3</v>
      </c>
      <c r="U237" s="7"/>
      <c r="V237" s="7"/>
      <c r="W237" s="8"/>
      <c r="X237" s="9"/>
      <c r="Y237" s="9"/>
      <c r="Z237" s="9"/>
      <c r="AA237" s="10"/>
      <c r="AB237" s="11"/>
      <c r="AC237"/>
      <c r="AD237"/>
      <c r="AE237"/>
      <c r="AF237"/>
      <c r="AG237"/>
    </row>
    <row r="238" spans="1:33" x14ac:dyDescent="0.2">
      <c r="A238" s="1" t="s">
        <v>171</v>
      </c>
      <c r="B238" s="5" t="s">
        <v>21</v>
      </c>
      <c r="C238" s="2">
        <v>8.3333000000000004E-2</v>
      </c>
      <c r="D238" s="3">
        <v>19.999998999999999</v>
      </c>
      <c r="E238" s="11" t="s">
        <v>46</v>
      </c>
      <c r="F238" s="2">
        <v>0.16666666999999999</v>
      </c>
      <c r="G238" s="2">
        <v>0</v>
      </c>
      <c r="H238" s="11"/>
      <c r="I238" s="2"/>
      <c r="J238" s="2">
        <v>0</v>
      </c>
      <c r="K238" s="12"/>
      <c r="M238" s="3"/>
      <c r="N238" s="2">
        <v>0</v>
      </c>
      <c r="O238" s="2">
        <v>0</v>
      </c>
      <c r="P238" s="6">
        <v>0</v>
      </c>
      <c r="Q238" s="6">
        <v>0</v>
      </c>
      <c r="R238" s="2">
        <v>1.3889E-2</v>
      </c>
      <c r="T238" s="12">
        <v>3</v>
      </c>
      <c r="U238" s="7"/>
      <c r="V238" s="7"/>
      <c r="W238" s="8"/>
      <c r="X238" s="9"/>
      <c r="Y238" s="9"/>
      <c r="Z238" s="9"/>
      <c r="AA238" s="10"/>
      <c r="AB238" s="11"/>
      <c r="AC238"/>
      <c r="AD238"/>
      <c r="AE238"/>
      <c r="AF238"/>
      <c r="AG238"/>
    </row>
    <row r="239" spans="1:33" x14ac:dyDescent="0.2">
      <c r="A239" s="1" t="s">
        <v>171</v>
      </c>
      <c r="B239" s="5" t="s">
        <v>21</v>
      </c>
      <c r="C239" s="2">
        <v>8.3333000000000004E-2</v>
      </c>
      <c r="D239" s="3">
        <v>19.999998999999999</v>
      </c>
      <c r="E239" s="11" t="s">
        <v>160</v>
      </c>
      <c r="F239" s="2">
        <v>0.16666666999999999</v>
      </c>
      <c r="G239" s="2">
        <v>0</v>
      </c>
      <c r="H239" s="11"/>
      <c r="I239" s="2"/>
      <c r="J239" s="2">
        <v>0</v>
      </c>
      <c r="K239" s="12"/>
      <c r="M239" s="3"/>
      <c r="N239" s="2">
        <v>0</v>
      </c>
      <c r="O239" s="2">
        <v>0</v>
      </c>
      <c r="P239" s="6">
        <v>0</v>
      </c>
      <c r="Q239" s="6">
        <v>0</v>
      </c>
      <c r="R239" s="2">
        <v>1.3889E-2</v>
      </c>
      <c r="T239" s="12">
        <v>3</v>
      </c>
      <c r="U239" s="7"/>
      <c r="V239" s="7"/>
      <c r="W239" s="8"/>
      <c r="X239" s="9"/>
      <c r="Y239" s="9"/>
      <c r="Z239" s="9"/>
      <c r="AA239" s="10"/>
      <c r="AB239" s="11"/>
      <c r="AC239"/>
      <c r="AD239"/>
      <c r="AE239"/>
      <c r="AF239"/>
      <c r="AG239"/>
    </row>
    <row r="240" spans="1:33" x14ac:dyDescent="0.2">
      <c r="A240" s="1" t="s">
        <v>205</v>
      </c>
      <c r="B240" s="5" t="s">
        <v>21</v>
      </c>
      <c r="C240" s="2">
        <v>0.125</v>
      </c>
      <c r="D240" s="3">
        <v>30</v>
      </c>
      <c r="E240" s="11" t="s">
        <v>30</v>
      </c>
      <c r="F240" s="2">
        <v>0.16666666999999999</v>
      </c>
      <c r="G240" s="2">
        <v>0</v>
      </c>
      <c r="H240" s="11"/>
      <c r="I240" s="2"/>
      <c r="J240" s="2">
        <v>0</v>
      </c>
      <c r="K240" s="12"/>
      <c r="M240" s="3"/>
      <c r="N240" s="2">
        <v>0</v>
      </c>
      <c r="O240" s="2">
        <v>0</v>
      </c>
      <c r="P240" s="6">
        <v>0</v>
      </c>
      <c r="Q240" s="6">
        <v>0</v>
      </c>
      <c r="R240" s="2">
        <v>2.0833000000000001E-2</v>
      </c>
      <c r="T240" s="12">
        <v>3</v>
      </c>
      <c r="U240" s="7"/>
      <c r="V240" s="7"/>
      <c r="W240" s="8"/>
      <c r="X240" s="9"/>
      <c r="Y240" s="9"/>
      <c r="Z240" s="9"/>
      <c r="AA240" s="10"/>
      <c r="AB240" s="11"/>
      <c r="AC240"/>
      <c r="AD240"/>
      <c r="AE240"/>
      <c r="AF240"/>
      <c r="AG240"/>
    </row>
    <row r="241" spans="1:33" x14ac:dyDescent="0.2">
      <c r="A241" s="1" t="s">
        <v>208</v>
      </c>
      <c r="B241" s="5" t="s">
        <v>21</v>
      </c>
      <c r="C241" s="2">
        <v>0.125</v>
      </c>
      <c r="D241" s="3">
        <v>30</v>
      </c>
      <c r="E241" s="11" t="s">
        <v>163</v>
      </c>
      <c r="F241" s="2">
        <v>0.15</v>
      </c>
      <c r="G241" s="2">
        <v>0</v>
      </c>
      <c r="H241" s="11"/>
      <c r="I241" s="2"/>
      <c r="J241" s="2">
        <v>0</v>
      </c>
      <c r="K241" s="12"/>
      <c r="M241" s="3"/>
      <c r="N241" s="2">
        <v>0</v>
      </c>
      <c r="O241" s="2">
        <v>0</v>
      </c>
      <c r="P241" s="6">
        <v>0</v>
      </c>
      <c r="Q241" s="6">
        <v>0</v>
      </c>
      <c r="R241" s="2">
        <v>1.8749999999999999E-2</v>
      </c>
      <c r="S241" s="4" t="s">
        <v>209</v>
      </c>
      <c r="T241" s="12">
        <v>3</v>
      </c>
      <c r="U241" s="7"/>
      <c r="V241" s="7"/>
      <c r="W241" s="8"/>
      <c r="X241" s="9"/>
      <c r="Y241" s="9"/>
      <c r="Z241" s="9"/>
      <c r="AA241" s="10"/>
      <c r="AB241" s="11"/>
      <c r="AC241"/>
      <c r="AD241"/>
      <c r="AE241"/>
      <c r="AF241"/>
      <c r="AG241"/>
    </row>
    <row r="242" spans="1:33" ht="25.5" x14ac:dyDescent="0.2">
      <c r="A242" s="1" t="s">
        <v>222</v>
      </c>
      <c r="B242" s="5" t="s">
        <v>21</v>
      </c>
      <c r="C242" s="2">
        <v>6.25E-2</v>
      </c>
      <c r="D242" s="3">
        <v>15</v>
      </c>
      <c r="E242" s="11" t="s">
        <v>32</v>
      </c>
      <c r="F242" s="2">
        <v>0.16666666999999999</v>
      </c>
      <c r="G242" s="2">
        <v>0</v>
      </c>
      <c r="H242" s="11"/>
      <c r="I242" s="2"/>
      <c r="J242" s="2">
        <v>0</v>
      </c>
      <c r="K242" s="12"/>
      <c r="M242" s="3"/>
      <c r="N242" s="2">
        <v>0</v>
      </c>
      <c r="O242" s="2">
        <v>0</v>
      </c>
      <c r="P242" s="6">
        <v>0</v>
      </c>
      <c r="Q242" s="6">
        <v>0</v>
      </c>
      <c r="R242" s="2">
        <v>1.0416999999999999E-2</v>
      </c>
      <c r="S242" s="4" t="s">
        <v>223</v>
      </c>
      <c r="T242" s="12">
        <v>3</v>
      </c>
      <c r="U242" s="7"/>
      <c r="V242" s="7"/>
      <c r="W242" s="8"/>
      <c r="X242" s="9"/>
      <c r="Y242" s="9"/>
      <c r="Z242" s="9"/>
      <c r="AA242" s="10"/>
      <c r="AB242" s="11"/>
      <c r="AC242"/>
      <c r="AD242"/>
      <c r="AE242"/>
      <c r="AF242"/>
      <c r="AG242"/>
    </row>
    <row r="243" spans="1:33" ht="25.5" x14ac:dyDescent="0.2">
      <c r="A243" s="1" t="s">
        <v>227</v>
      </c>
      <c r="B243" s="5" t="s">
        <v>21</v>
      </c>
      <c r="C243" s="2">
        <v>6.25E-2</v>
      </c>
      <c r="D243" s="3">
        <v>15</v>
      </c>
      <c r="E243" s="11" t="s">
        <v>22</v>
      </c>
      <c r="F243" s="2">
        <v>0.16666666999999999</v>
      </c>
      <c r="G243" s="2">
        <v>0</v>
      </c>
      <c r="H243" s="11"/>
      <c r="I243" s="2"/>
      <c r="J243" s="2">
        <v>0</v>
      </c>
      <c r="K243" s="12"/>
      <c r="M243" s="3"/>
      <c r="N243" s="2">
        <v>0</v>
      </c>
      <c r="O243" s="2">
        <v>0</v>
      </c>
      <c r="P243" s="6">
        <v>0</v>
      </c>
      <c r="Q243" s="6">
        <v>0</v>
      </c>
      <c r="R243" s="2">
        <v>1.0416999999999999E-2</v>
      </c>
      <c r="S243" s="4" t="s">
        <v>223</v>
      </c>
      <c r="T243" s="12">
        <v>3</v>
      </c>
      <c r="U243" s="7"/>
      <c r="V243" s="7"/>
      <c r="W243" s="8"/>
      <c r="X243" s="9"/>
      <c r="Y243" s="9"/>
      <c r="Z243" s="9"/>
      <c r="AA243" s="10"/>
      <c r="AB243" s="11"/>
      <c r="AC243"/>
      <c r="AD243"/>
      <c r="AE243"/>
      <c r="AF243"/>
      <c r="AG243"/>
    </row>
    <row r="244" spans="1:33" ht="38.25" x14ac:dyDescent="0.2">
      <c r="A244" s="1" t="s">
        <v>228</v>
      </c>
      <c r="B244" s="5" t="s">
        <v>21</v>
      </c>
      <c r="C244" s="2">
        <v>8.3333000000000004E-2</v>
      </c>
      <c r="D244" s="3">
        <v>20.000001999999999</v>
      </c>
      <c r="E244" s="11" t="s">
        <v>43</v>
      </c>
      <c r="F244" s="2">
        <v>0.16666666999999999</v>
      </c>
      <c r="G244" s="2">
        <v>0</v>
      </c>
      <c r="H244" s="11"/>
      <c r="I244" s="2"/>
      <c r="J244" s="2">
        <v>0</v>
      </c>
      <c r="K244" s="12"/>
      <c r="M244" s="3"/>
      <c r="N244" s="2">
        <v>0</v>
      </c>
      <c r="O244" s="2">
        <v>0</v>
      </c>
      <c r="P244" s="6">
        <v>0</v>
      </c>
      <c r="Q244" s="6">
        <v>0</v>
      </c>
      <c r="R244" s="2">
        <v>1.3889E-2</v>
      </c>
      <c r="S244" s="4" t="s">
        <v>223</v>
      </c>
      <c r="T244" s="12">
        <v>3</v>
      </c>
      <c r="U244" s="7"/>
      <c r="V244" s="7"/>
      <c r="W244" s="8"/>
      <c r="X244" s="9"/>
      <c r="Y244" s="9"/>
      <c r="Z244" s="9"/>
      <c r="AA244" s="10"/>
      <c r="AB244" s="11"/>
      <c r="AC244"/>
      <c r="AD244"/>
      <c r="AE244"/>
      <c r="AF244"/>
      <c r="AG244"/>
    </row>
    <row r="245" spans="1:33" ht="38.25" x14ac:dyDescent="0.2">
      <c r="A245" s="1" t="s">
        <v>228</v>
      </c>
      <c r="B245" s="5" t="s">
        <v>21</v>
      </c>
      <c r="C245" s="2">
        <v>8.3333000000000004E-2</v>
      </c>
      <c r="D245" s="3">
        <v>19.999998999999999</v>
      </c>
      <c r="E245" s="11" t="s">
        <v>46</v>
      </c>
      <c r="F245" s="2">
        <v>0.16666666999999999</v>
      </c>
      <c r="G245" s="2">
        <v>0</v>
      </c>
      <c r="H245" s="11"/>
      <c r="I245" s="2"/>
      <c r="J245" s="2">
        <v>0</v>
      </c>
      <c r="K245" s="12"/>
      <c r="M245" s="3"/>
      <c r="N245" s="2">
        <v>0</v>
      </c>
      <c r="O245" s="2">
        <v>0</v>
      </c>
      <c r="P245" s="6">
        <v>0</v>
      </c>
      <c r="Q245" s="6">
        <v>0</v>
      </c>
      <c r="R245" s="2">
        <v>1.3889E-2</v>
      </c>
      <c r="S245" s="4" t="s">
        <v>223</v>
      </c>
      <c r="T245" s="12">
        <v>3</v>
      </c>
      <c r="U245" s="7"/>
      <c r="V245" s="7"/>
      <c r="W245" s="8"/>
      <c r="X245" s="9"/>
      <c r="Y245" s="9"/>
      <c r="Z245" s="9"/>
      <c r="AA245" s="10"/>
      <c r="AB245" s="11"/>
      <c r="AC245"/>
      <c r="AD245"/>
      <c r="AE245"/>
      <c r="AF245"/>
      <c r="AG245"/>
    </row>
    <row r="246" spans="1:33" ht="38.25" x14ac:dyDescent="0.2">
      <c r="A246" s="1" t="s">
        <v>228</v>
      </c>
      <c r="B246" s="5" t="s">
        <v>21</v>
      </c>
      <c r="C246" s="2">
        <v>8.3333000000000004E-2</v>
      </c>
      <c r="D246" s="3">
        <v>19.999998999999999</v>
      </c>
      <c r="E246" s="11" t="s">
        <v>160</v>
      </c>
      <c r="F246" s="2">
        <v>0.16666666999999999</v>
      </c>
      <c r="G246" s="2">
        <v>0</v>
      </c>
      <c r="H246" s="11"/>
      <c r="I246" s="2"/>
      <c r="J246" s="2">
        <v>0</v>
      </c>
      <c r="K246" s="12"/>
      <c r="M246" s="3"/>
      <c r="N246" s="2">
        <v>0</v>
      </c>
      <c r="O246" s="2">
        <v>0</v>
      </c>
      <c r="P246" s="6">
        <v>0</v>
      </c>
      <c r="Q246" s="6">
        <v>0</v>
      </c>
      <c r="R246" s="2">
        <v>1.3889E-2</v>
      </c>
      <c r="S246" s="4" t="s">
        <v>223</v>
      </c>
      <c r="T246" s="12">
        <v>3</v>
      </c>
      <c r="U246" s="7"/>
      <c r="V246" s="7"/>
      <c r="W246" s="8"/>
      <c r="X246" s="9"/>
      <c r="Y246" s="9"/>
      <c r="Z246" s="9"/>
      <c r="AA246" s="10"/>
      <c r="AB246" s="11"/>
      <c r="AC246"/>
      <c r="AD246"/>
      <c r="AE246"/>
      <c r="AF246"/>
      <c r="AG246"/>
    </row>
    <row r="247" spans="1:33" x14ac:dyDescent="0.2">
      <c r="A247" s="1" t="s">
        <v>230</v>
      </c>
      <c r="B247" s="5" t="s">
        <v>21</v>
      </c>
      <c r="C247" s="2">
        <v>0.125</v>
      </c>
      <c r="D247" s="3">
        <v>30</v>
      </c>
      <c r="E247" s="11" t="s">
        <v>164</v>
      </c>
      <c r="F247" s="2">
        <v>0.15</v>
      </c>
      <c r="G247" s="2">
        <v>0</v>
      </c>
      <c r="H247" s="11"/>
      <c r="I247" s="2"/>
      <c r="J247" s="2">
        <v>0</v>
      </c>
      <c r="K247" s="12"/>
      <c r="M247" s="3"/>
      <c r="N247" s="2">
        <v>0</v>
      </c>
      <c r="O247" s="2">
        <v>0</v>
      </c>
      <c r="P247" s="6">
        <v>0</v>
      </c>
      <c r="Q247" s="6">
        <v>0</v>
      </c>
      <c r="R247" s="2">
        <v>1.8749999999999999E-2</v>
      </c>
      <c r="S247" s="4" t="s">
        <v>209</v>
      </c>
      <c r="T247" s="12">
        <v>3</v>
      </c>
      <c r="U247" s="7"/>
      <c r="V247" s="7"/>
      <c r="W247" s="8"/>
      <c r="X247" s="9"/>
      <c r="Y247" s="9"/>
      <c r="Z247" s="9"/>
      <c r="AA247" s="10"/>
      <c r="AB247" s="11"/>
      <c r="AC247"/>
      <c r="AD247"/>
      <c r="AE247"/>
      <c r="AF247"/>
      <c r="AG247"/>
    </row>
    <row r="248" spans="1:33" x14ac:dyDescent="0.2">
      <c r="A248" s="1" t="s">
        <v>119</v>
      </c>
      <c r="B248" s="5" t="s">
        <v>13</v>
      </c>
      <c r="C248" s="2"/>
      <c r="D248" s="3"/>
      <c r="E248" s="11"/>
      <c r="F248" s="2"/>
      <c r="G248" s="2">
        <v>0</v>
      </c>
      <c r="H248" s="11"/>
      <c r="I248" s="2"/>
      <c r="J248" s="2">
        <v>0</v>
      </c>
      <c r="K248" s="12"/>
      <c r="M248" s="3">
        <v>0</v>
      </c>
      <c r="N248" s="2">
        <v>0</v>
      </c>
      <c r="O248" s="2">
        <v>0</v>
      </c>
      <c r="P248" s="6">
        <v>0</v>
      </c>
      <c r="Q248" s="6">
        <v>0</v>
      </c>
      <c r="R248" s="2">
        <v>0</v>
      </c>
      <c r="T248" s="12">
        <v>3</v>
      </c>
      <c r="U248" s="7"/>
      <c r="V248" s="7"/>
      <c r="W248" s="8"/>
      <c r="X248" s="9"/>
      <c r="Y248" s="9"/>
      <c r="Z248" s="9"/>
      <c r="AA248" s="10"/>
      <c r="AB248" s="11"/>
      <c r="AC248"/>
      <c r="AD248"/>
      <c r="AE248"/>
      <c r="AF248"/>
      <c r="AG248"/>
    </row>
    <row r="249" spans="1:33" x14ac:dyDescent="0.2">
      <c r="A249" s="1" t="s">
        <v>29</v>
      </c>
      <c r="B249" s="5" t="s">
        <v>15</v>
      </c>
      <c r="C249" s="2"/>
      <c r="D249" s="3"/>
      <c r="E249" s="11" t="s">
        <v>30</v>
      </c>
      <c r="F249" s="2"/>
      <c r="G249" s="2">
        <v>0</v>
      </c>
      <c r="H249" s="11"/>
      <c r="I249" s="2"/>
      <c r="J249" s="2">
        <v>0</v>
      </c>
      <c r="K249" s="12" t="s">
        <v>30</v>
      </c>
      <c r="L249" s="2">
        <v>0.125</v>
      </c>
      <c r="M249" s="3">
        <v>30</v>
      </c>
      <c r="N249" s="2">
        <v>0</v>
      </c>
      <c r="O249" s="2">
        <v>0</v>
      </c>
      <c r="P249" s="6">
        <v>3.3333000000000002E-2</v>
      </c>
      <c r="Q249" s="6">
        <v>6.25E-2</v>
      </c>
      <c r="R249" s="2">
        <v>2.5999999999999998E-4</v>
      </c>
      <c r="T249" s="12">
        <v>3</v>
      </c>
      <c r="U249" s="7"/>
      <c r="V249" s="7"/>
      <c r="W249" s="8"/>
      <c r="X249" s="9"/>
      <c r="Y249" s="9"/>
      <c r="Z249" s="9"/>
      <c r="AA249" s="10"/>
      <c r="AB249" s="11"/>
      <c r="AC249"/>
      <c r="AD249"/>
      <c r="AE249"/>
      <c r="AF249"/>
      <c r="AG249"/>
    </row>
    <row r="250" spans="1:33" x14ac:dyDescent="0.2">
      <c r="A250" s="1" t="s">
        <v>29</v>
      </c>
      <c r="B250" s="5" t="s">
        <v>15</v>
      </c>
      <c r="C250" s="2"/>
      <c r="D250" s="3"/>
      <c r="E250" s="11" t="s">
        <v>32</v>
      </c>
      <c r="F250" s="2"/>
      <c r="G250" s="2">
        <v>0</v>
      </c>
      <c r="H250" s="11"/>
      <c r="I250" s="2"/>
      <c r="J250" s="2">
        <v>0</v>
      </c>
      <c r="K250" s="12" t="s">
        <v>30</v>
      </c>
      <c r="L250" s="2">
        <v>6.25E-2</v>
      </c>
      <c r="M250" s="3">
        <v>15</v>
      </c>
      <c r="N250" s="2">
        <v>0</v>
      </c>
      <c r="O250" s="2">
        <v>0</v>
      </c>
      <c r="P250" s="6">
        <v>3.3333000000000002E-2</v>
      </c>
      <c r="Q250" s="6">
        <v>6.25E-2</v>
      </c>
      <c r="R250" s="2">
        <v>1.2999999999999999E-4</v>
      </c>
      <c r="T250" s="12">
        <v>3</v>
      </c>
      <c r="U250" s="7"/>
      <c r="V250" s="7"/>
      <c r="W250" s="8"/>
      <c r="X250" s="9"/>
      <c r="Y250" s="9"/>
      <c r="Z250" s="9"/>
      <c r="AA250" s="10"/>
      <c r="AB250" s="11"/>
      <c r="AC250"/>
      <c r="AD250"/>
      <c r="AE250"/>
      <c r="AF250"/>
      <c r="AG250"/>
    </row>
    <row r="251" spans="1:33" x14ac:dyDescent="0.2">
      <c r="A251" s="1" t="s">
        <v>29</v>
      </c>
      <c r="B251" s="5" t="s">
        <v>15</v>
      </c>
      <c r="C251" s="2"/>
      <c r="D251" s="3"/>
      <c r="E251" s="11" t="s">
        <v>22</v>
      </c>
      <c r="F251" s="2"/>
      <c r="G251" s="2">
        <v>0</v>
      </c>
      <c r="H251" s="11"/>
      <c r="I251" s="2"/>
      <c r="J251" s="2">
        <v>0</v>
      </c>
      <c r="K251" s="12" t="s">
        <v>30</v>
      </c>
      <c r="L251" s="2">
        <v>6.25E-2</v>
      </c>
      <c r="M251" s="3">
        <v>15</v>
      </c>
      <c r="N251" s="2">
        <v>0</v>
      </c>
      <c r="O251" s="2">
        <v>0</v>
      </c>
      <c r="P251" s="6">
        <v>3.3333000000000002E-2</v>
      </c>
      <c r="Q251" s="6">
        <v>6.25E-2</v>
      </c>
      <c r="R251" s="2">
        <v>1.2999999999999999E-4</v>
      </c>
      <c r="T251" s="12">
        <v>3</v>
      </c>
      <c r="U251" s="7"/>
      <c r="V251" s="7"/>
      <c r="W251" s="8"/>
      <c r="X251" s="9"/>
      <c r="Y251" s="9"/>
      <c r="Z251" s="9"/>
      <c r="AA251" s="10"/>
      <c r="AB251" s="11"/>
      <c r="AC251"/>
      <c r="AD251"/>
      <c r="AE251"/>
      <c r="AF251"/>
      <c r="AG251"/>
    </row>
    <row r="252" spans="1:33" x14ac:dyDescent="0.2">
      <c r="A252" s="1" t="s">
        <v>29</v>
      </c>
      <c r="B252" s="5" t="s">
        <v>15</v>
      </c>
      <c r="C252" s="2"/>
      <c r="D252" s="3"/>
      <c r="E252" s="11" t="s">
        <v>43</v>
      </c>
      <c r="F252" s="2"/>
      <c r="G252" s="2">
        <v>0</v>
      </c>
      <c r="H252" s="11"/>
      <c r="I252" s="2"/>
      <c r="J252" s="2">
        <v>0</v>
      </c>
      <c r="K252" s="12" t="s">
        <v>30</v>
      </c>
      <c r="L252" s="2">
        <v>0.16666666999999999</v>
      </c>
      <c r="M252" s="3">
        <v>40.000000999999997</v>
      </c>
      <c r="N252" s="2">
        <v>0</v>
      </c>
      <c r="O252" s="2">
        <v>0</v>
      </c>
      <c r="P252" s="6">
        <v>3.3333000000000002E-2</v>
      </c>
      <c r="Q252" s="6">
        <v>6.25E-2</v>
      </c>
      <c r="R252" s="2">
        <v>3.4699999999999998E-4</v>
      </c>
      <c r="T252" s="12">
        <v>3</v>
      </c>
      <c r="U252" s="7"/>
      <c r="V252" s="7"/>
      <c r="W252" s="8"/>
      <c r="X252" s="9"/>
      <c r="Y252" s="9"/>
      <c r="Z252" s="9"/>
      <c r="AA252" s="10"/>
      <c r="AB252" s="11"/>
      <c r="AC252"/>
      <c r="AD252"/>
      <c r="AE252"/>
      <c r="AF252"/>
      <c r="AG252"/>
    </row>
    <row r="253" spans="1:33" x14ac:dyDescent="0.2">
      <c r="A253" s="1" t="s">
        <v>29</v>
      </c>
      <c r="B253" s="5" t="s">
        <v>15</v>
      </c>
      <c r="C253" s="2"/>
      <c r="D253" s="3"/>
      <c r="E253" s="11" t="s">
        <v>160</v>
      </c>
      <c r="F253" s="2"/>
      <c r="G253" s="2">
        <v>0</v>
      </c>
      <c r="H253" s="11"/>
      <c r="I253" s="2"/>
      <c r="J253" s="2">
        <v>0</v>
      </c>
      <c r="K253" s="12" t="s">
        <v>30</v>
      </c>
      <c r="L253" s="2">
        <v>0.16666666999999999</v>
      </c>
      <c r="M253" s="3">
        <v>40.000000999999997</v>
      </c>
      <c r="N253" s="2">
        <v>0</v>
      </c>
      <c r="O253" s="2">
        <v>0</v>
      </c>
      <c r="P253" s="6">
        <v>3.3333000000000002E-2</v>
      </c>
      <c r="Q253" s="6">
        <v>6.25E-2</v>
      </c>
      <c r="R253" s="2">
        <v>3.4699999999999998E-4</v>
      </c>
      <c r="T253" s="12">
        <v>3</v>
      </c>
      <c r="U253" s="7"/>
      <c r="V253" s="7"/>
      <c r="W253" s="8"/>
      <c r="X253" s="9"/>
      <c r="Y253" s="9"/>
      <c r="Z253" s="9"/>
      <c r="AA253" s="10"/>
      <c r="AB253" s="11"/>
      <c r="AC253"/>
      <c r="AD253"/>
      <c r="AE253"/>
      <c r="AF253"/>
      <c r="AG253"/>
    </row>
    <row r="254" spans="1:33" x14ac:dyDescent="0.2">
      <c r="A254" s="1" t="s">
        <v>29</v>
      </c>
      <c r="B254" s="5" t="s">
        <v>15</v>
      </c>
      <c r="C254" s="2"/>
      <c r="D254" s="3"/>
      <c r="E254" s="11" t="s">
        <v>163</v>
      </c>
      <c r="F254" s="2"/>
      <c r="G254" s="2">
        <v>0</v>
      </c>
      <c r="H254" s="11"/>
      <c r="I254" s="2"/>
      <c r="J254" s="2">
        <v>0</v>
      </c>
      <c r="K254" s="12" t="s">
        <v>32</v>
      </c>
      <c r="L254" s="2">
        <v>0.125</v>
      </c>
      <c r="M254" s="3">
        <v>30</v>
      </c>
      <c r="N254" s="2">
        <v>0</v>
      </c>
      <c r="O254" s="2">
        <v>0</v>
      </c>
      <c r="P254" s="6">
        <v>0.05</v>
      </c>
      <c r="Q254" s="6">
        <v>6.25E-2</v>
      </c>
      <c r="R254" s="2">
        <v>3.9100000000000002E-4</v>
      </c>
      <c r="S254" s="4" t="s">
        <v>26</v>
      </c>
      <c r="T254" s="12">
        <v>3</v>
      </c>
      <c r="U254" s="7"/>
      <c r="V254" s="7"/>
      <c r="W254" s="8"/>
      <c r="X254" s="9"/>
      <c r="Y254" s="9"/>
      <c r="Z254" s="9"/>
      <c r="AA254" s="10"/>
      <c r="AB254" s="11"/>
      <c r="AC254"/>
      <c r="AD254"/>
      <c r="AE254"/>
      <c r="AF254"/>
      <c r="AG254"/>
    </row>
    <row r="255" spans="1:33" x14ac:dyDescent="0.2">
      <c r="A255" s="1" t="s">
        <v>29</v>
      </c>
      <c r="B255" s="5" t="s">
        <v>15</v>
      </c>
      <c r="C255" s="2"/>
      <c r="D255" s="3"/>
      <c r="E255" s="11" t="s">
        <v>164</v>
      </c>
      <c r="F255" s="2"/>
      <c r="G255" s="2">
        <v>0</v>
      </c>
      <c r="H255" s="11"/>
      <c r="I255" s="2"/>
      <c r="J255" s="2">
        <v>0</v>
      </c>
      <c r="K255" s="12" t="s">
        <v>22</v>
      </c>
      <c r="L255" s="2">
        <v>0.125</v>
      </c>
      <c r="M255" s="3">
        <v>30</v>
      </c>
      <c r="N255" s="2">
        <v>0</v>
      </c>
      <c r="O255" s="2">
        <v>0</v>
      </c>
      <c r="P255" s="6">
        <v>0.05</v>
      </c>
      <c r="Q255" s="6">
        <v>6.25E-2</v>
      </c>
      <c r="R255" s="2">
        <v>3.9100000000000002E-4</v>
      </c>
      <c r="S255" s="4" t="s">
        <v>26</v>
      </c>
      <c r="T255" s="12">
        <v>3</v>
      </c>
      <c r="U255" s="7"/>
      <c r="V255" s="7"/>
      <c r="W255" s="8"/>
      <c r="X255" s="9"/>
      <c r="Y255" s="9"/>
      <c r="Z255" s="9"/>
      <c r="AA255" s="10"/>
      <c r="AB255" s="11"/>
      <c r="AC255"/>
      <c r="AD255"/>
      <c r="AE255"/>
      <c r="AF255"/>
      <c r="AG255"/>
    </row>
    <row r="256" spans="1:33" x14ac:dyDescent="0.2">
      <c r="A256" s="1" t="s">
        <v>29</v>
      </c>
      <c r="B256" s="5" t="s">
        <v>15</v>
      </c>
      <c r="C256" s="2"/>
      <c r="D256" s="3"/>
      <c r="E256" s="11" t="s">
        <v>46</v>
      </c>
      <c r="F256" s="2"/>
      <c r="G256" s="2">
        <v>0</v>
      </c>
      <c r="H256" s="11"/>
      <c r="I256" s="2"/>
      <c r="J256" s="2">
        <v>0</v>
      </c>
      <c r="K256" s="12" t="s">
        <v>30</v>
      </c>
      <c r="L256" s="2">
        <v>0.16666666999999999</v>
      </c>
      <c r="M256" s="3">
        <v>40.000000999999997</v>
      </c>
      <c r="N256" s="2">
        <v>0</v>
      </c>
      <c r="O256" s="2">
        <v>0</v>
      </c>
      <c r="P256" s="6">
        <v>3.3333000000000002E-2</v>
      </c>
      <c r="Q256" s="6">
        <v>6.25E-2</v>
      </c>
      <c r="R256" s="2">
        <v>3.4699999999999998E-4</v>
      </c>
      <c r="T256" s="12">
        <v>3</v>
      </c>
      <c r="U256" s="7"/>
      <c r="V256" s="7"/>
      <c r="W256" s="8"/>
      <c r="X256" s="9"/>
      <c r="Y256" s="9"/>
      <c r="Z256" s="9"/>
      <c r="AA256" s="10"/>
      <c r="AB256" s="11"/>
      <c r="AC256"/>
      <c r="AD256"/>
      <c r="AE256"/>
      <c r="AF256"/>
      <c r="AG256"/>
    </row>
    <row r="257" spans="1:33" x14ac:dyDescent="0.2">
      <c r="A257" s="1" t="s">
        <v>36</v>
      </c>
      <c r="B257" s="5" t="s">
        <v>15</v>
      </c>
      <c r="C257" s="2"/>
      <c r="D257" s="3"/>
      <c r="E257" s="11" t="s">
        <v>163</v>
      </c>
      <c r="F257" s="2"/>
      <c r="G257" s="2">
        <v>0</v>
      </c>
      <c r="H257" s="11"/>
      <c r="I257" s="2"/>
      <c r="J257" s="2">
        <v>0</v>
      </c>
      <c r="K257" s="12" t="s">
        <v>32</v>
      </c>
      <c r="L257" s="2">
        <v>0.125</v>
      </c>
      <c r="M257" s="3">
        <v>30</v>
      </c>
      <c r="N257" s="2">
        <v>0</v>
      </c>
      <c r="O257" s="2">
        <v>0</v>
      </c>
      <c r="P257" s="6">
        <v>0.05</v>
      </c>
      <c r="Q257" s="6">
        <v>2.7799999999999998E-2</v>
      </c>
      <c r="R257" s="2">
        <v>1.74E-4</v>
      </c>
      <c r="S257" s="4" t="s">
        <v>26</v>
      </c>
      <c r="T257" s="12">
        <v>3</v>
      </c>
      <c r="U257" s="7"/>
      <c r="V257" s="7"/>
      <c r="W257" s="8"/>
      <c r="X257" s="9"/>
      <c r="Y257" s="9"/>
      <c r="Z257" s="9"/>
      <c r="AA257" s="10"/>
      <c r="AB257" s="11"/>
      <c r="AC257"/>
      <c r="AD257"/>
      <c r="AE257"/>
      <c r="AF257"/>
      <c r="AG257"/>
    </row>
    <row r="258" spans="1:33" x14ac:dyDescent="0.2">
      <c r="A258" s="1" t="s">
        <v>36</v>
      </c>
      <c r="B258" s="5" t="s">
        <v>15</v>
      </c>
      <c r="C258" s="2"/>
      <c r="D258" s="3"/>
      <c r="E258" s="11" t="s">
        <v>160</v>
      </c>
      <c r="F258" s="2"/>
      <c r="G258" s="2">
        <v>0</v>
      </c>
      <c r="H258" s="11"/>
      <c r="I258" s="2"/>
      <c r="J258" s="2">
        <v>0</v>
      </c>
      <c r="K258" s="12" t="s">
        <v>30</v>
      </c>
      <c r="L258" s="2">
        <v>0.16666666999999999</v>
      </c>
      <c r="M258" s="3">
        <v>40.000000999999997</v>
      </c>
      <c r="N258" s="2">
        <v>0</v>
      </c>
      <c r="O258" s="2">
        <v>0</v>
      </c>
      <c r="P258" s="6">
        <v>3.3333000000000002E-2</v>
      </c>
      <c r="Q258" s="6">
        <v>2.7799999999999998E-2</v>
      </c>
      <c r="R258" s="2">
        <v>1.54E-4</v>
      </c>
      <c r="T258" s="12">
        <v>3</v>
      </c>
      <c r="U258" s="7"/>
      <c r="V258" s="7"/>
      <c r="W258" s="8"/>
      <c r="X258" s="9"/>
      <c r="Y258" s="9"/>
      <c r="Z258" s="9"/>
      <c r="AA258" s="10"/>
      <c r="AB258" s="11"/>
      <c r="AC258"/>
      <c r="AD258"/>
      <c r="AE258"/>
      <c r="AF258"/>
      <c r="AG258"/>
    </row>
    <row r="259" spans="1:33" x14ac:dyDescent="0.2">
      <c r="A259" s="1" t="s">
        <v>36</v>
      </c>
      <c r="B259" s="5" t="s">
        <v>15</v>
      </c>
      <c r="C259" s="2"/>
      <c r="D259" s="3"/>
      <c r="E259" s="11" t="s">
        <v>32</v>
      </c>
      <c r="F259" s="2"/>
      <c r="G259" s="2">
        <v>0</v>
      </c>
      <c r="H259" s="11"/>
      <c r="I259" s="2"/>
      <c r="J259" s="2">
        <v>0</v>
      </c>
      <c r="K259" s="12" t="s">
        <v>30</v>
      </c>
      <c r="L259" s="2">
        <v>6.25E-2</v>
      </c>
      <c r="M259" s="3">
        <v>15</v>
      </c>
      <c r="N259" s="2">
        <v>0</v>
      </c>
      <c r="O259" s="2">
        <v>0</v>
      </c>
      <c r="P259" s="6">
        <v>3.3333000000000002E-2</v>
      </c>
      <c r="Q259" s="6">
        <v>2.7799999999999998E-2</v>
      </c>
      <c r="R259" s="2">
        <v>5.8E-5</v>
      </c>
      <c r="T259" s="12">
        <v>3</v>
      </c>
      <c r="U259" s="7"/>
      <c r="V259" s="7"/>
      <c r="W259" s="8"/>
      <c r="X259" s="9"/>
      <c r="Y259" s="9"/>
      <c r="Z259" s="9"/>
      <c r="AA259" s="10"/>
      <c r="AB259" s="11"/>
      <c r="AC259"/>
      <c r="AD259"/>
      <c r="AE259"/>
      <c r="AF259"/>
      <c r="AG259"/>
    </row>
    <row r="260" spans="1:33" x14ac:dyDescent="0.2">
      <c r="A260" s="1" t="s">
        <v>36</v>
      </c>
      <c r="B260" s="5" t="s">
        <v>15</v>
      </c>
      <c r="C260" s="2"/>
      <c r="D260" s="3"/>
      <c r="E260" s="11" t="s">
        <v>164</v>
      </c>
      <c r="F260" s="2"/>
      <c r="G260" s="2">
        <v>0</v>
      </c>
      <c r="H260" s="11"/>
      <c r="I260" s="2"/>
      <c r="J260" s="2">
        <v>0</v>
      </c>
      <c r="K260" s="12" t="s">
        <v>22</v>
      </c>
      <c r="L260" s="2">
        <v>0.125</v>
      </c>
      <c r="M260" s="3">
        <v>30</v>
      </c>
      <c r="N260" s="2">
        <v>0</v>
      </c>
      <c r="O260" s="2">
        <v>0</v>
      </c>
      <c r="P260" s="6">
        <v>0.05</v>
      </c>
      <c r="Q260" s="6">
        <v>2.7799999999999998E-2</v>
      </c>
      <c r="R260" s="2">
        <v>1.74E-4</v>
      </c>
      <c r="S260" s="4" t="s">
        <v>26</v>
      </c>
      <c r="T260" s="12">
        <v>3</v>
      </c>
      <c r="U260" s="7"/>
      <c r="V260" s="7"/>
      <c r="W260" s="8"/>
      <c r="X260" s="9"/>
      <c r="Y260" s="9"/>
      <c r="Z260" s="9"/>
      <c r="AA260" s="10"/>
      <c r="AB260" s="11"/>
      <c r="AC260"/>
      <c r="AD260"/>
      <c r="AE260"/>
      <c r="AF260"/>
      <c r="AG260"/>
    </row>
    <row r="261" spans="1:33" x14ac:dyDescent="0.2">
      <c r="A261" s="1" t="s">
        <v>36</v>
      </c>
      <c r="B261" s="5" t="s">
        <v>15</v>
      </c>
      <c r="C261" s="2"/>
      <c r="D261" s="3"/>
      <c r="E261" s="11" t="s">
        <v>43</v>
      </c>
      <c r="F261" s="2"/>
      <c r="G261" s="2">
        <v>0</v>
      </c>
      <c r="H261" s="11"/>
      <c r="I261" s="2"/>
      <c r="J261" s="2">
        <v>0</v>
      </c>
      <c r="K261" s="12" t="s">
        <v>30</v>
      </c>
      <c r="L261" s="2">
        <v>0.16666666999999999</v>
      </c>
      <c r="M261" s="3">
        <v>40.000000999999997</v>
      </c>
      <c r="N261" s="2">
        <v>0</v>
      </c>
      <c r="O261" s="2">
        <v>0</v>
      </c>
      <c r="P261" s="6">
        <v>3.3333000000000002E-2</v>
      </c>
      <c r="Q261" s="6">
        <v>2.7799999999999998E-2</v>
      </c>
      <c r="R261" s="2">
        <v>1.54E-4</v>
      </c>
      <c r="T261" s="12">
        <v>3</v>
      </c>
      <c r="U261" s="7"/>
      <c r="V261" s="7"/>
      <c r="W261" s="8"/>
      <c r="X261" s="9"/>
      <c r="Y261" s="9"/>
      <c r="Z261" s="9"/>
      <c r="AA261" s="10"/>
      <c r="AB261" s="11"/>
      <c r="AC261"/>
      <c r="AD261"/>
      <c r="AE261"/>
      <c r="AF261"/>
      <c r="AG261"/>
    </row>
    <row r="262" spans="1:33" x14ac:dyDescent="0.2">
      <c r="A262" s="1" t="s">
        <v>36</v>
      </c>
      <c r="B262" s="5" t="s">
        <v>15</v>
      </c>
      <c r="C262" s="2"/>
      <c r="D262" s="3"/>
      <c r="E262" s="11" t="s">
        <v>22</v>
      </c>
      <c r="F262" s="2"/>
      <c r="G262" s="2">
        <v>0</v>
      </c>
      <c r="H262" s="11"/>
      <c r="I262" s="2"/>
      <c r="J262" s="2">
        <v>0</v>
      </c>
      <c r="K262" s="12" t="s">
        <v>30</v>
      </c>
      <c r="L262" s="2">
        <v>6.25E-2</v>
      </c>
      <c r="M262" s="3">
        <v>15</v>
      </c>
      <c r="N262" s="2">
        <v>0</v>
      </c>
      <c r="O262" s="2">
        <v>0</v>
      </c>
      <c r="P262" s="6">
        <v>3.3333000000000002E-2</v>
      </c>
      <c r="Q262" s="6">
        <v>2.7799999999999998E-2</v>
      </c>
      <c r="R262" s="2">
        <v>5.8E-5</v>
      </c>
      <c r="T262" s="12">
        <v>3</v>
      </c>
      <c r="U262" s="7"/>
      <c r="V262" s="7"/>
      <c r="W262" s="8"/>
      <c r="X262" s="9"/>
      <c r="Y262" s="9"/>
      <c r="Z262" s="9"/>
      <c r="AA262" s="10"/>
      <c r="AB262" s="11"/>
      <c r="AC262"/>
      <c r="AD262"/>
      <c r="AE262"/>
      <c r="AF262"/>
      <c r="AG262"/>
    </row>
    <row r="263" spans="1:33" x14ac:dyDescent="0.2">
      <c r="A263" s="1" t="s">
        <v>36</v>
      </c>
      <c r="B263" s="5" t="s">
        <v>15</v>
      </c>
      <c r="C263" s="2"/>
      <c r="D263" s="3"/>
      <c r="E263" s="11" t="s">
        <v>46</v>
      </c>
      <c r="F263" s="2"/>
      <c r="G263" s="2">
        <v>0</v>
      </c>
      <c r="H263" s="11"/>
      <c r="I263" s="2"/>
      <c r="J263" s="2">
        <v>0</v>
      </c>
      <c r="K263" s="12" t="s">
        <v>30</v>
      </c>
      <c r="L263" s="2">
        <v>0.16666666999999999</v>
      </c>
      <c r="M263" s="3">
        <v>40.000000999999997</v>
      </c>
      <c r="N263" s="2">
        <v>0</v>
      </c>
      <c r="O263" s="2">
        <v>0</v>
      </c>
      <c r="P263" s="6">
        <v>3.3333000000000002E-2</v>
      </c>
      <c r="Q263" s="6">
        <v>2.7799999999999998E-2</v>
      </c>
      <c r="R263" s="2">
        <v>1.54E-4</v>
      </c>
      <c r="T263" s="12">
        <v>3</v>
      </c>
      <c r="U263" s="7"/>
      <c r="V263" s="7"/>
      <c r="W263" s="8"/>
      <c r="X263" s="9"/>
      <c r="Y263" s="9"/>
      <c r="Z263" s="9"/>
      <c r="AA263" s="10"/>
      <c r="AB263" s="11"/>
      <c r="AC263"/>
      <c r="AD263"/>
      <c r="AE263"/>
      <c r="AF263"/>
      <c r="AG263"/>
    </row>
    <row r="264" spans="1:33" x14ac:dyDescent="0.2">
      <c r="A264" s="1" t="s">
        <v>36</v>
      </c>
      <c r="B264" s="5" t="s">
        <v>15</v>
      </c>
      <c r="C264" s="2"/>
      <c r="D264" s="3"/>
      <c r="E264" s="11" t="s">
        <v>30</v>
      </c>
      <c r="F264" s="2"/>
      <c r="G264" s="2">
        <v>0</v>
      </c>
      <c r="H264" s="11"/>
      <c r="I264" s="2"/>
      <c r="J264" s="2">
        <v>0</v>
      </c>
      <c r="K264" s="12" t="s">
        <v>30</v>
      </c>
      <c r="L264" s="2">
        <v>0.125</v>
      </c>
      <c r="M264" s="3">
        <v>30</v>
      </c>
      <c r="N264" s="2">
        <v>0</v>
      </c>
      <c r="O264" s="2">
        <v>0</v>
      </c>
      <c r="P264" s="6">
        <v>3.3333000000000002E-2</v>
      </c>
      <c r="Q264" s="6">
        <v>2.7799999999999998E-2</v>
      </c>
      <c r="R264" s="2">
        <v>1.16E-4</v>
      </c>
      <c r="T264" s="12">
        <v>3</v>
      </c>
      <c r="U264" s="7"/>
      <c r="V264" s="7"/>
      <c r="W264" s="8"/>
      <c r="X264" s="9"/>
      <c r="Y264" s="9"/>
      <c r="Z264" s="9"/>
      <c r="AA264" s="10"/>
      <c r="AB264" s="11"/>
      <c r="AC264"/>
      <c r="AD264"/>
      <c r="AE264"/>
      <c r="AF264"/>
      <c r="AG264"/>
    </row>
    <row r="265" spans="1:33" x14ac:dyDescent="0.2">
      <c r="A265" s="1" t="s">
        <v>59</v>
      </c>
      <c r="B265" s="5" t="s">
        <v>15</v>
      </c>
      <c r="C265" s="2"/>
      <c r="D265" s="3"/>
      <c r="E265" s="11" t="s">
        <v>164</v>
      </c>
      <c r="F265" s="2"/>
      <c r="G265" s="2">
        <v>0</v>
      </c>
      <c r="H265" s="11"/>
      <c r="I265" s="2"/>
      <c r="J265" s="2">
        <v>0</v>
      </c>
      <c r="K265" s="12" t="s">
        <v>22</v>
      </c>
      <c r="L265" s="2">
        <v>0.125</v>
      </c>
      <c r="M265" s="3">
        <v>30</v>
      </c>
      <c r="N265" s="2">
        <v>0</v>
      </c>
      <c r="O265" s="2">
        <v>0</v>
      </c>
      <c r="P265" s="6">
        <v>0.05</v>
      </c>
      <c r="Q265" s="6">
        <v>3.125E-2</v>
      </c>
      <c r="R265" s="2">
        <v>1.95E-4</v>
      </c>
      <c r="S265" s="4" t="s">
        <v>26</v>
      </c>
      <c r="T265" s="12">
        <v>3</v>
      </c>
      <c r="U265" s="7"/>
      <c r="V265" s="7"/>
      <c r="W265" s="8"/>
      <c r="X265" s="9"/>
      <c r="Y265" s="9"/>
      <c r="Z265" s="9"/>
      <c r="AA265" s="10"/>
      <c r="AB265" s="11"/>
      <c r="AC265"/>
      <c r="AD265"/>
      <c r="AE265"/>
      <c r="AF265"/>
      <c r="AG265"/>
    </row>
    <row r="266" spans="1:33" x14ac:dyDescent="0.2">
      <c r="A266" s="1" t="s">
        <v>59</v>
      </c>
      <c r="B266" s="5" t="s">
        <v>15</v>
      </c>
      <c r="C266" s="2"/>
      <c r="D266" s="3"/>
      <c r="E266" s="11" t="s">
        <v>32</v>
      </c>
      <c r="F266" s="2"/>
      <c r="G266" s="2">
        <v>0</v>
      </c>
      <c r="H266" s="11"/>
      <c r="I266" s="2"/>
      <c r="J266" s="2">
        <v>0</v>
      </c>
      <c r="K266" s="12" t="s">
        <v>30</v>
      </c>
      <c r="L266" s="2">
        <v>6.25E-2</v>
      </c>
      <c r="M266" s="3">
        <v>15</v>
      </c>
      <c r="N266" s="2">
        <v>0</v>
      </c>
      <c r="O266" s="2">
        <v>0</v>
      </c>
      <c r="P266" s="6">
        <v>3.3333000000000002E-2</v>
      </c>
      <c r="Q266" s="6">
        <v>3.125E-2</v>
      </c>
      <c r="R266" s="2">
        <v>6.4999999999999994E-5</v>
      </c>
      <c r="T266" s="12">
        <v>3</v>
      </c>
      <c r="U266" s="7"/>
      <c r="V266" s="7"/>
      <c r="W266" s="8"/>
      <c r="X266" s="9"/>
      <c r="Y266" s="9"/>
      <c r="Z266" s="9"/>
      <c r="AA266" s="10"/>
      <c r="AB266" s="11"/>
      <c r="AC266"/>
      <c r="AD266"/>
      <c r="AE266"/>
      <c r="AF266"/>
      <c r="AG266"/>
    </row>
    <row r="267" spans="1:33" x14ac:dyDescent="0.2">
      <c r="A267" s="1" t="s">
        <v>59</v>
      </c>
      <c r="B267" s="5" t="s">
        <v>15</v>
      </c>
      <c r="C267" s="2"/>
      <c r="D267" s="3"/>
      <c r="E267" s="11" t="s">
        <v>22</v>
      </c>
      <c r="F267" s="2"/>
      <c r="G267" s="2">
        <v>0</v>
      </c>
      <c r="H267" s="11"/>
      <c r="I267" s="2"/>
      <c r="J267" s="2">
        <v>0</v>
      </c>
      <c r="K267" s="12" t="s">
        <v>30</v>
      </c>
      <c r="L267" s="2">
        <v>6.25E-2</v>
      </c>
      <c r="M267" s="3">
        <v>15</v>
      </c>
      <c r="N267" s="2">
        <v>0</v>
      </c>
      <c r="O267" s="2">
        <v>0</v>
      </c>
      <c r="P267" s="6">
        <v>3.3333000000000002E-2</v>
      </c>
      <c r="Q267" s="6">
        <v>3.125E-2</v>
      </c>
      <c r="R267" s="2">
        <v>6.4999999999999994E-5</v>
      </c>
      <c r="T267" s="12">
        <v>3</v>
      </c>
      <c r="U267" s="7"/>
      <c r="V267" s="7"/>
      <c r="W267" s="8"/>
      <c r="X267" s="9"/>
      <c r="Y267" s="9"/>
      <c r="Z267" s="9"/>
      <c r="AA267" s="10"/>
      <c r="AB267" s="11"/>
      <c r="AC267"/>
      <c r="AD267"/>
      <c r="AE267"/>
      <c r="AF267"/>
      <c r="AG267"/>
    </row>
    <row r="268" spans="1:33" x14ac:dyDescent="0.2">
      <c r="A268" s="1" t="s">
        <v>59</v>
      </c>
      <c r="B268" s="5" t="s">
        <v>15</v>
      </c>
      <c r="C268" s="2"/>
      <c r="D268" s="3"/>
      <c r="E268" s="11" t="s">
        <v>163</v>
      </c>
      <c r="F268" s="2"/>
      <c r="G268" s="2">
        <v>0</v>
      </c>
      <c r="H268" s="11"/>
      <c r="I268" s="2"/>
      <c r="J268" s="2">
        <v>0</v>
      </c>
      <c r="K268" s="12" t="s">
        <v>32</v>
      </c>
      <c r="L268" s="2">
        <v>0.125</v>
      </c>
      <c r="M268" s="3">
        <v>30</v>
      </c>
      <c r="N268" s="2">
        <v>0</v>
      </c>
      <c r="O268" s="2">
        <v>0</v>
      </c>
      <c r="P268" s="6">
        <v>0.05</v>
      </c>
      <c r="Q268" s="6">
        <v>3.125E-2</v>
      </c>
      <c r="R268" s="2">
        <v>1.95E-4</v>
      </c>
      <c r="S268" s="4" t="s">
        <v>26</v>
      </c>
      <c r="T268" s="12">
        <v>3</v>
      </c>
      <c r="U268" s="7"/>
      <c r="V268" s="7"/>
      <c r="W268" s="8"/>
      <c r="X268" s="9"/>
      <c r="Y268" s="9"/>
      <c r="Z268" s="9"/>
      <c r="AA268" s="10"/>
      <c r="AB268" s="11"/>
      <c r="AC268"/>
      <c r="AD268"/>
      <c r="AE268"/>
      <c r="AF268"/>
      <c r="AG268"/>
    </row>
    <row r="269" spans="1:33" x14ac:dyDescent="0.2">
      <c r="A269" s="1" t="s">
        <v>59</v>
      </c>
      <c r="B269" s="5" t="s">
        <v>15</v>
      </c>
      <c r="C269" s="2"/>
      <c r="D269" s="3"/>
      <c r="E269" s="11" t="s">
        <v>160</v>
      </c>
      <c r="F269" s="2"/>
      <c r="G269" s="2">
        <v>0</v>
      </c>
      <c r="H269" s="11"/>
      <c r="I269" s="2"/>
      <c r="J269" s="2">
        <v>0</v>
      </c>
      <c r="K269" s="12" t="s">
        <v>30</v>
      </c>
      <c r="L269" s="2">
        <v>0.16666666999999999</v>
      </c>
      <c r="M269" s="3">
        <v>40.000000999999997</v>
      </c>
      <c r="N269" s="2">
        <v>0</v>
      </c>
      <c r="O269" s="2">
        <v>0</v>
      </c>
      <c r="P269" s="6">
        <v>3.3333000000000002E-2</v>
      </c>
      <c r="Q269" s="6">
        <v>3.125E-2</v>
      </c>
      <c r="R269" s="2">
        <v>1.74E-4</v>
      </c>
      <c r="T269" s="12">
        <v>3</v>
      </c>
      <c r="U269" s="7"/>
      <c r="V269" s="7"/>
      <c r="W269" s="8"/>
      <c r="X269" s="9"/>
      <c r="Y269" s="9"/>
      <c r="Z269" s="9"/>
      <c r="AA269" s="10"/>
      <c r="AB269" s="11"/>
      <c r="AC269"/>
      <c r="AD269"/>
      <c r="AE269"/>
      <c r="AF269"/>
      <c r="AG269"/>
    </row>
    <row r="270" spans="1:33" x14ac:dyDescent="0.2">
      <c r="A270" s="1" t="s">
        <v>59</v>
      </c>
      <c r="B270" s="5" t="s">
        <v>15</v>
      </c>
      <c r="C270" s="2"/>
      <c r="D270" s="3"/>
      <c r="E270" s="11" t="s">
        <v>30</v>
      </c>
      <c r="F270" s="2"/>
      <c r="G270" s="2">
        <v>0</v>
      </c>
      <c r="H270" s="11"/>
      <c r="I270" s="2"/>
      <c r="J270" s="2">
        <v>0</v>
      </c>
      <c r="K270" s="12" t="s">
        <v>30</v>
      </c>
      <c r="L270" s="2">
        <v>0.125</v>
      </c>
      <c r="M270" s="3">
        <v>30</v>
      </c>
      <c r="N270" s="2">
        <v>0</v>
      </c>
      <c r="O270" s="2">
        <v>0</v>
      </c>
      <c r="P270" s="6">
        <v>3.3333000000000002E-2</v>
      </c>
      <c r="Q270" s="6">
        <v>3.125E-2</v>
      </c>
      <c r="R270" s="2">
        <v>1.2999999999999999E-4</v>
      </c>
      <c r="T270" s="12">
        <v>3</v>
      </c>
      <c r="U270" s="7"/>
      <c r="V270" s="7"/>
      <c r="W270" s="8"/>
      <c r="X270" s="9"/>
      <c r="Y270" s="9"/>
      <c r="Z270" s="9"/>
      <c r="AA270" s="10"/>
      <c r="AB270" s="11"/>
      <c r="AC270"/>
      <c r="AD270"/>
      <c r="AE270"/>
      <c r="AF270"/>
      <c r="AG270"/>
    </row>
    <row r="271" spans="1:33" x14ac:dyDescent="0.2">
      <c r="A271" s="1" t="s">
        <v>59</v>
      </c>
      <c r="B271" s="5" t="s">
        <v>15</v>
      </c>
      <c r="C271" s="2"/>
      <c r="D271" s="3"/>
      <c r="E271" s="11" t="s">
        <v>46</v>
      </c>
      <c r="F271" s="2"/>
      <c r="G271" s="2">
        <v>0</v>
      </c>
      <c r="H271" s="11"/>
      <c r="I271" s="2"/>
      <c r="J271" s="2">
        <v>0</v>
      </c>
      <c r="K271" s="12" t="s">
        <v>30</v>
      </c>
      <c r="L271" s="2">
        <v>0.16666666999999999</v>
      </c>
      <c r="M271" s="3">
        <v>40.000000999999997</v>
      </c>
      <c r="N271" s="2">
        <v>0</v>
      </c>
      <c r="O271" s="2">
        <v>0</v>
      </c>
      <c r="P271" s="6">
        <v>3.3333000000000002E-2</v>
      </c>
      <c r="Q271" s="6">
        <v>3.125E-2</v>
      </c>
      <c r="R271" s="2">
        <v>1.74E-4</v>
      </c>
      <c r="T271" s="12">
        <v>3</v>
      </c>
      <c r="U271" s="7"/>
      <c r="V271" s="7"/>
      <c r="W271" s="8"/>
      <c r="X271" s="9"/>
      <c r="Y271" s="9"/>
      <c r="Z271" s="9"/>
      <c r="AA271" s="10"/>
      <c r="AB271" s="11"/>
      <c r="AC271"/>
      <c r="AD271"/>
      <c r="AE271"/>
      <c r="AF271"/>
      <c r="AG271"/>
    </row>
    <row r="272" spans="1:33" x14ac:dyDescent="0.2">
      <c r="A272" s="1" t="s">
        <v>59</v>
      </c>
      <c r="B272" s="5" t="s">
        <v>15</v>
      </c>
      <c r="C272" s="2"/>
      <c r="D272" s="3"/>
      <c r="E272" s="11" t="s">
        <v>43</v>
      </c>
      <c r="F272" s="2"/>
      <c r="G272" s="2">
        <v>0</v>
      </c>
      <c r="H272" s="11"/>
      <c r="I272" s="2"/>
      <c r="J272" s="2">
        <v>0</v>
      </c>
      <c r="K272" s="12" t="s">
        <v>30</v>
      </c>
      <c r="L272" s="2">
        <v>0.16666666999999999</v>
      </c>
      <c r="M272" s="3">
        <v>40.000000999999997</v>
      </c>
      <c r="N272" s="2">
        <v>0</v>
      </c>
      <c r="O272" s="2">
        <v>0</v>
      </c>
      <c r="P272" s="6">
        <v>3.3333000000000002E-2</v>
      </c>
      <c r="Q272" s="6">
        <v>3.125E-2</v>
      </c>
      <c r="R272" s="2">
        <v>1.74E-4</v>
      </c>
      <c r="T272" s="12">
        <v>3</v>
      </c>
      <c r="U272" s="7"/>
      <c r="V272" s="7"/>
      <c r="W272" s="8"/>
      <c r="X272" s="9"/>
      <c r="Y272" s="9"/>
      <c r="Z272" s="9"/>
      <c r="AA272" s="10"/>
      <c r="AB272" s="11"/>
      <c r="AC272"/>
      <c r="AD272"/>
      <c r="AE272"/>
      <c r="AF272"/>
      <c r="AG272"/>
    </row>
    <row r="273" spans="1:33" x14ac:dyDescent="0.2">
      <c r="A273" s="1" t="s">
        <v>69</v>
      </c>
      <c r="B273" s="5" t="s">
        <v>15</v>
      </c>
      <c r="C273" s="2"/>
      <c r="D273" s="3"/>
      <c r="E273" s="11" t="s">
        <v>32</v>
      </c>
      <c r="F273" s="2"/>
      <c r="G273" s="2">
        <v>0</v>
      </c>
      <c r="H273" s="11"/>
      <c r="I273" s="2"/>
      <c r="J273" s="2">
        <v>0</v>
      </c>
      <c r="K273" s="12" t="s">
        <v>30</v>
      </c>
      <c r="L273" s="2">
        <v>6.25E-2</v>
      </c>
      <c r="M273" s="3">
        <v>15</v>
      </c>
      <c r="N273" s="2">
        <v>0</v>
      </c>
      <c r="O273" s="2">
        <v>0</v>
      </c>
      <c r="P273" s="6">
        <v>3.3333000000000002E-2</v>
      </c>
      <c r="Q273" s="6">
        <v>0.38335000000000002</v>
      </c>
      <c r="R273" s="2">
        <v>7.9900000000000001E-4</v>
      </c>
      <c r="T273" s="12">
        <v>3</v>
      </c>
      <c r="U273" s="7"/>
      <c r="V273" s="7"/>
      <c r="W273" s="8"/>
      <c r="X273" s="9"/>
      <c r="Y273" s="9"/>
      <c r="Z273" s="9"/>
      <c r="AA273" s="10"/>
      <c r="AB273" s="11"/>
      <c r="AC273"/>
      <c r="AD273"/>
      <c r="AE273"/>
      <c r="AF273"/>
      <c r="AG273"/>
    </row>
    <row r="274" spans="1:33" x14ac:dyDescent="0.2">
      <c r="A274" s="1" t="s">
        <v>69</v>
      </c>
      <c r="B274" s="5" t="s">
        <v>15</v>
      </c>
      <c r="C274" s="2"/>
      <c r="D274" s="3"/>
      <c r="E274" s="11" t="s">
        <v>30</v>
      </c>
      <c r="F274" s="2"/>
      <c r="G274" s="2">
        <v>0</v>
      </c>
      <c r="H274" s="11"/>
      <c r="I274" s="2"/>
      <c r="J274" s="2">
        <v>0</v>
      </c>
      <c r="K274" s="12" t="s">
        <v>30</v>
      </c>
      <c r="L274" s="2">
        <v>0.125</v>
      </c>
      <c r="M274" s="3">
        <v>30</v>
      </c>
      <c r="N274" s="2">
        <v>0</v>
      </c>
      <c r="O274" s="2">
        <v>0</v>
      </c>
      <c r="P274" s="6">
        <v>3.3333000000000002E-2</v>
      </c>
      <c r="Q274" s="6">
        <v>5.4999999999999997E-3</v>
      </c>
      <c r="R274" s="2">
        <v>2.3E-5</v>
      </c>
      <c r="T274" s="12">
        <v>3</v>
      </c>
      <c r="U274" s="7"/>
      <c r="V274" s="7"/>
      <c r="W274" s="8"/>
      <c r="X274" s="9"/>
      <c r="Y274" s="9"/>
      <c r="Z274" s="9"/>
      <c r="AA274" s="10"/>
      <c r="AB274" s="11"/>
      <c r="AC274"/>
      <c r="AD274"/>
      <c r="AE274"/>
      <c r="AF274"/>
      <c r="AG274"/>
    </row>
    <row r="275" spans="1:33" x14ac:dyDescent="0.2">
      <c r="A275" s="1" t="s">
        <v>69</v>
      </c>
      <c r="B275" s="5" t="s">
        <v>15</v>
      </c>
      <c r="C275" s="2"/>
      <c r="D275" s="3"/>
      <c r="E275" s="11" t="s">
        <v>164</v>
      </c>
      <c r="F275" s="2"/>
      <c r="G275" s="2">
        <v>0</v>
      </c>
      <c r="H275" s="11"/>
      <c r="I275" s="2"/>
      <c r="J275" s="2">
        <v>0</v>
      </c>
      <c r="K275" s="12" t="s">
        <v>22</v>
      </c>
      <c r="L275" s="2">
        <v>0.125</v>
      </c>
      <c r="M275" s="3">
        <v>30</v>
      </c>
      <c r="N275" s="2">
        <v>0</v>
      </c>
      <c r="O275" s="2">
        <v>0</v>
      </c>
      <c r="P275" s="6">
        <v>0.05</v>
      </c>
      <c r="Q275" s="6">
        <v>5.4999999999999997E-3</v>
      </c>
      <c r="R275" s="2">
        <v>3.4E-5</v>
      </c>
      <c r="S275" s="4" t="s">
        <v>26</v>
      </c>
      <c r="T275" s="12">
        <v>3</v>
      </c>
      <c r="U275" s="7"/>
      <c r="V275" s="7"/>
      <c r="W275" s="8"/>
      <c r="X275" s="9"/>
      <c r="Y275" s="9"/>
      <c r="Z275" s="9"/>
      <c r="AA275" s="10"/>
      <c r="AB275" s="11"/>
      <c r="AC275"/>
      <c r="AD275"/>
      <c r="AE275"/>
      <c r="AF275"/>
      <c r="AG275"/>
    </row>
    <row r="276" spans="1:33" x14ac:dyDescent="0.2">
      <c r="A276" s="1" t="s">
        <v>69</v>
      </c>
      <c r="B276" s="5" t="s">
        <v>15</v>
      </c>
      <c r="C276" s="2"/>
      <c r="D276" s="3"/>
      <c r="E276" s="11" t="s">
        <v>163</v>
      </c>
      <c r="F276" s="2"/>
      <c r="G276" s="2">
        <v>0</v>
      </c>
      <c r="H276" s="11"/>
      <c r="I276" s="2"/>
      <c r="J276" s="2">
        <v>0</v>
      </c>
      <c r="K276" s="12" t="s">
        <v>32</v>
      </c>
      <c r="L276" s="2">
        <v>0.125</v>
      </c>
      <c r="M276" s="3">
        <v>30</v>
      </c>
      <c r="N276" s="2">
        <v>0</v>
      </c>
      <c r="O276" s="2">
        <v>0</v>
      </c>
      <c r="P276" s="6">
        <v>0.05</v>
      </c>
      <c r="Q276" s="6">
        <v>5.4999999999999997E-3</v>
      </c>
      <c r="R276" s="2">
        <v>3.4E-5</v>
      </c>
      <c r="S276" s="4" t="s">
        <v>26</v>
      </c>
      <c r="T276" s="12">
        <v>3</v>
      </c>
      <c r="U276" s="7"/>
      <c r="V276" s="7"/>
      <c r="W276" s="8"/>
      <c r="X276" s="9"/>
      <c r="Y276" s="9"/>
      <c r="Z276" s="9"/>
      <c r="AA276" s="10"/>
      <c r="AB276" s="11"/>
      <c r="AC276"/>
      <c r="AD276"/>
      <c r="AE276"/>
      <c r="AF276"/>
      <c r="AG276"/>
    </row>
    <row r="277" spans="1:33" x14ac:dyDescent="0.2">
      <c r="A277" s="1" t="s">
        <v>69</v>
      </c>
      <c r="B277" s="5" t="s">
        <v>15</v>
      </c>
      <c r="C277" s="2"/>
      <c r="D277" s="3"/>
      <c r="E277" s="11" t="s">
        <v>160</v>
      </c>
      <c r="F277" s="2"/>
      <c r="G277" s="2">
        <v>0</v>
      </c>
      <c r="H277" s="11"/>
      <c r="I277" s="2"/>
      <c r="J277" s="2">
        <v>0</v>
      </c>
      <c r="K277" s="12" t="s">
        <v>30</v>
      </c>
      <c r="L277" s="2">
        <v>0.16666666999999999</v>
      </c>
      <c r="M277" s="3">
        <v>40.000000999999997</v>
      </c>
      <c r="N277" s="2">
        <v>0</v>
      </c>
      <c r="O277" s="2">
        <v>0</v>
      </c>
      <c r="P277" s="6">
        <v>3.3333000000000002E-2</v>
      </c>
      <c r="Q277" s="6">
        <v>5.4999999999999997E-3</v>
      </c>
      <c r="R277" s="2">
        <v>3.1000000000000001E-5</v>
      </c>
      <c r="T277" s="12">
        <v>3</v>
      </c>
      <c r="U277" s="7"/>
      <c r="V277" s="7"/>
      <c r="W277" s="8"/>
      <c r="X277" s="9"/>
      <c r="Y277" s="9"/>
      <c r="Z277" s="9"/>
      <c r="AA277" s="10"/>
      <c r="AB277" s="11"/>
      <c r="AC277"/>
      <c r="AD277"/>
      <c r="AE277"/>
      <c r="AF277"/>
      <c r="AG277"/>
    </row>
    <row r="278" spans="1:33" x14ac:dyDescent="0.2">
      <c r="A278" s="1" t="s">
        <v>69</v>
      </c>
      <c r="B278" s="5" t="s">
        <v>15</v>
      </c>
      <c r="C278" s="2"/>
      <c r="D278" s="3"/>
      <c r="E278" s="11" t="s">
        <v>32</v>
      </c>
      <c r="F278" s="2"/>
      <c r="G278" s="2">
        <v>0</v>
      </c>
      <c r="H278" s="11"/>
      <c r="I278" s="2"/>
      <c r="J278" s="2">
        <v>0</v>
      </c>
      <c r="K278" s="12" t="s">
        <v>30</v>
      </c>
      <c r="L278" s="2">
        <v>6.25E-2</v>
      </c>
      <c r="M278" s="3">
        <v>15</v>
      </c>
      <c r="N278" s="2">
        <v>0</v>
      </c>
      <c r="O278" s="2">
        <v>0</v>
      </c>
      <c r="P278" s="6">
        <v>3.3333000000000002E-2</v>
      </c>
      <c r="Q278" s="6">
        <v>5.4999999999999997E-3</v>
      </c>
      <c r="R278" s="2">
        <v>1.1E-5</v>
      </c>
      <c r="T278" s="12">
        <v>3</v>
      </c>
      <c r="U278" s="7"/>
      <c r="V278" s="7"/>
      <c r="W278" s="8"/>
      <c r="X278" s="9"/>
      <c r="Y278" s="9"/>
      <c r="Z278" s="9"/>
      <c r="AA278" s="10"/>
      <c r="AB278" s="11"/>
      <c r="AC278"/>
      <c r="AD278"/>
      <c r="AE278"/>
      <c r="AF278"/>
      <c r="AG278"/>
    </row>
    <row r="279" spans="1:33" x14ac:dyDescent="0.2">
      <c r="A279" s="1" t="s">
        <v>69</v>
      </c>
      <c r="B279" s="5" t="s">
        <v>15</v>
      </c>
      <c r="C279" s="2"/>
      <c r="D279" s="3"/>
      <c r="E279" s="11" t="s">
        <v>22</v>
      </c>
      <c r="F279" s="2"/>
      <c r="G279" s="2">
        <v>0</v>
      </c>
      <c r="H279" s="11"/>
      <c r="I279" s="2"/>
      <c r="J279" s="2">
        <v>0</v>
      </c>
      <c r="K279" s="12" t="s">
        <v>30</v>
      </c>
      <c r="L279" s="2">
        <v>6.25E-2</v>
      </c>
      <c r="M279" s="3">
        <v>15</v>
      </c>
      <c r="N279" s="2">
        <v>0</v>
      </c>
      <c r="O279" s="2">
        <v>0</v>
      </c>
      <c r="P279" s="6">
        <v>3.3333000000000002E-2</v>
      </c>
      <c r="Q279" s="6">
        <v>0.38335000000000002</v>
      </c>
      <c r="R279" s="2">
        <v>7.9900000000000001E-4</v>
      </c>
      <c r="T279" s="12">
        <v>3</v>
      </c>
      <c r="U279" s="7"/>
      <c r="V279" s="7"/>
      <c r="W279" s="8"/>
      <c r="X279" s="9"/>
      <c r="Y279" s="9"/>
      <c r="Z279" s="9"/>
      <c r="AA279" s="10"/>
      <c r="AB279" s="11"/>
      <c r="AC279"/>
      <c r="AD279"/>
      <c r="AE279"/>
      <c r="AF279"/>
      <c r="AG279"/>
    </row>
    <row r="280" spans="1:33" x14ac:dyDescent="0.2">
      <c r="A280" s="1" t="s">
        <v>69</v>
      </c>
      <c r="B280" s="5" t="s">
        <v>15</v>
      </c>
      <c r="C280" s="2"/>
      <c r="D280" s="3"/>
      <c r="E280" s="11" t="s">
        <v>22</v>
      </c>
      <c r="F280" s="2"/>
      <c r="G280" s="2">
        <v>0</v>
      </c>
      <c r="H280" s="11"/>
      <c r="I280" s="2"/>
      <c r="J280" s="2">
        <v>0</v>
      </c>
      <c r="K280" s="12" t="s">
        <v>30</v>
      </c>
      <c r="L280" s="2">
        <v>6.25E-2</v>
      </c>
      <c r="M280" s="3">
        <v>15</v>
      </c>
      <c r="N280" s="2">
        <v>0</v>
      </c>
      <c r="O280" s="2">
        <v>0</v>
      </c>
      <c r="P280" s="6">
        <v>3.3333000000000002E-2</v>
      </c>
      <c r="Q280" s="6">
        <v>5.4999999999999997E-3</v>
      </c>
      <c r="R280" s="2">
        <v>1.1E-5</v>
      </c>
      <c r="T280" s="12">
        <v>3</v>
      </c>
      <c r="U280" s="7"/>
      <c r="V280" s="7"/>
      <c r="W280" s="8"/>
      <c r="X280" s="9"/>
      <c r="Y280" s="9"/>
      <c r="Z280" s="9"/>
      <c r="AA280" s="10"/>
      <c r="AB280" s="11"/>
      <c r="AC280"/>
      <c r="AD280"/>
      <c r="AE280"/>
      <c r="AF280"/>
      <c r="AG280"/>
    </row>
    <row r="281" spans="1:33" x14ac:dyDescent="0.2">
      <c r="A281" s="1" t="s">
        <v>69</v>
      </c>
      <c r="B281" s="5" t="s">
        <v>15</v>
      </c>
      <c r="C281" s="2"/>
      <c r="D281" s="3"/>
      <c r="E281" s="11" t="s">
        <v>43</v>
      </c>
      <c r="F281" s="2"/>
      <c r="G281" s="2">
        <v>0</v>
      </c>
      <c r="H281" s="11"/>
      <c r="I281" s="2"/>
      <c r="J281" s="2">
        <v>0</v>
      </c>
      <c r="K281" s="12" t="s">
        <v>30</v>
      </c>
      <c r="L281" s="2">
        <v>0.16666666999999999</v>
      </c>
      <c r="M281" s="3">
        <v>40.000000999999997</v>
      </c>
      <c r="N281" s="2">
        <v>0</v>
      </c>
      <c r="O281" s="2">
        <v>0</v>
      </c>
      <c r="P281" s="6">
        <v>3.3333000000000002E-2</v>
      </c>
      <c r="Q281" s="6">
        <v>0.38335000000000002</v>
      </c>
      <c r="R281" s="2">
        <v>2.1299999999999999E-3</v>
      </c>
      <c r="T281" s="12">
        <v>3</v>
      </c>
      <c r="U281" s="7"/>
      <c r="V281" s="7"/>
      <c r="W281" s="8"/>
      <c r="X281" s="9"/>
      <c r="Y281" s="9"/>
      <c r="Z281" s="9"/>
      <c r="AA281" s="10"/>
      <c r="AB281" s="11"/>
      <c r="AC281"/>
      <c r="AD281"/>
      <c r="AE281"/>
      <c r="AF281"/>
      <c r="AG281"/>
    </row>
    <row r="282" spans="1:33" x14ac:dyDescent="0.2">
      <c r="A282" s="1" t="s">
        <v>69</v>
      </c>
      <c r="B282" s="5" t="s">
        <v>15</v>
      </c>
      <c r="C282" s="2"/>
      <c r="D282" s="3"/>
      <c r="E282" s="11" t="s">
        <v>164</v>
      </c>
      <c r="F282" s="2"/>
      <c r="G282" s="2">
        <v>0</v>
      </c>
      <c r="H282" s="11"/>
      <c r="I282" s="2"/>
      <c r="J282" s="2">
        <v>0</v>
      </c>
      <c r="K282" s="12" t="s">
        <v>22</v>
      </c>
      <c r="L282" s="2">
        <v>0.125</v>
      </c>
      <c r="M282" s="3">
        <v>30</v>
      </c>
      <c r="N282" s="2">
        <v>0</v>
      </c>
      <c r="O282" s="2">
        <v>0</v>
      </c>
      <c r="P282" s="6">
        <v>0.05</v>
      </c>
      <c r="Q282" s="6">
        <v>0.38335000000000002</v>
      </c>
      <c r="R282" s="2">
        <v>2.3960000000000001E-3</v>
      </c>
      <c r="S282" s="4" t="s">
        <v>26</v>
      </c>
      <c r="T282" s="12">
        <v>3</v>
      </c>
      <c r="U282" s="7"/>
      <c r="V282" s="7"/>
      <c r="W282" s="8"/>
      <c r="X282" s="9"/>
      <c r="Y282" s="9"/>
      <c r="Z282" s="9"/>
      <c r="AA282" s="10"/>
      <c r="AB282" s="11"/>
      <c r="AC282"/>
      <c r="AD282"/>
      <c r="AE282"/>
      <c r="AF282"/>
      <c r="AG282"/>
    </row>
    <row r="283" spans="1:33" x14ac:dyDescent="0.2">
      <c r="A283" s="1" t="s">
        <v>69</v>
      </c>
      <c r="B283" s="5" t="s">
        <v>15</v>
      </c>
      <c r="C283" s="2"/>
      <c r="D283" s="3"/>
      <c r="E283" s="11" t="s">
        <v>46</v>
      </c>
      <c r="F283" s="2"/>
      <c r="G283" s="2">
        <v>0</v>
      </c>
      <c r="H283" s="11"/>
      <c r="I283" s="2"/>
      <c r="J283" s="2">
        <v>0</v>
      </c>
      <c r="K283" s="12" t="s">
        <v>30</v>
      </c>
      <c r="L283" s="2">
        <v>0.16666666999999999</v>
      </c>
      <c r="M283" s="3">
        <v>40.000000999999997</v>
      </c>
      <c r="N283" s="2">
        <v>0</v>
      </c>
      <c r="O283" s="2">
        <v>0</v>
      </c>
      <c r="P283" s="6">
        <v>3.3333000000000002E-2</v>
      </c>
      <c r="Q283" s="6">
        <v>0.38335000000000002</v>
      </c>
      <c r="R283" s="2">
        <v>2.1299999999999999E-3</v>
      </c>
      <c r="T283" s="12">
        <v>3</v>
      </c>
      <c r="U283" s="7"/>
      <c r="V283" s="7"/>
      <c r="W283" s="8"/>
      <c r="X283" s="9"/>
      <c r="Y283" s="9"/>
      <c r="Z283" s="9"/>
      <c r="AA283" s="10"/>
      <c r="AB283" s="11"/>
      <c r="AC283"/>
      <c r="AD283"/>
      <c r="AE283"/>
      <c r="AF283"/>
      <c r="AG283"/>
    </row>
    <row r="284" spans="1:33" x14ac:dyDescent="0.2">
      <c r="A284" s="1" t="s">
        <v>69</v>
      </c>
      <c r="B284" s="5" t="s">
        <v>15</v>
      </c>
      <c r="C284" s="2"/>
      <c r="D284" s="3"/>
      <c r="E284" s="11" t="s">
        <v>46</v>
      </c>
      <c r="F284" s="2"/>
      <c r="G284" s="2">
        <v>0</v>
      </c>
      <c r="H284" s="11"/>
      <c r="I284" s="2"/>
      <c r="J284" s="2">
        <v>0</v>
      </c>
      <c r="K284" s="12" t="s">
        <v>30</v>
      </c>
      <c r="L284" s="2">
        <v>0.16666666999999999</v>
      </c>
      <c r="M284" s="3">
        <v>40.000000999999997</v>
      </c>
      <c r="N284" s="2">
        <v>0</v>
      </c>
      <c r="O284" s="2">
        <v>0</v>
      </c>
      <c r="P284" s="6">
        <v>3.3333000000000002E-2</v>
      </c>
      <c r="Q284" s="6">
        <v>5.4999999999999997E-3</v>
      </c>
      <c r="R284" s="2">
        <v>3.1000000000000001E-5</v>
      </c>
      <c r="T284" s="12">
        <v>3</v>
      </c>
      <c r="U284" s="7"/>
      <c r="V284" s="7"/>
      <c r="W284" s="8"/>
      <c r="X284" s="9"/>
      <c r="Y284" s="9"/>
      <c r="Z284" s="9"/>
      <c r="AA284" s="10"/>
      <c r="AB284" s="11"/>
      <c r="AC284"/>
      <c r="AD284"/>
      <c r="AE284"/>
      <c r="AF284"/>
      <c r="AG284"/>
    </row>
    <row r="285" spans="1:33" x14ac:dyDescent="0.2">
      <c r="A285" s="1" t="s">
        <v>69</v>
      </c>
      <c r="B285" s="5" t="s">
        <v>15</v>
      </c>
      <c r="C285" s="2"/>
      <c r="D285" s="3"/>
      <c r="E285" s="11" t="s">
        <v>163</v>
      </c>
      <c r="F285" s="2"/>
      <c r="G285" s="2">
        <v>0</v>
      </c>
      <c r="H285" s="11"/>
      <c r="I285" s="2"/>
      <c r="J285" s="2">
        <v>0</v>
      </c>
      <c r="K285" s="12" t="s">
        <v>32</v>
      </c>
      <c r="L285" s="2">
        <v>0.125</v>
      </c>
      <c r="M285" s="3">
        <v>30</v>
      </c>
      <c r="N285" s="2">
        <v>0</v>
      </c>
      <c r="O285" s="2">
        <v>0</v>
      </c>
      <c r="P285" s="6">
        <v>0.05</v>
      </c>
      <c r="Q285" s="6">
        <v>0.38335000000000002</v>
      </c>
      <c r="R285" s="2">
        <v>2.3960000000000001E-3</v>
      </c>
      <c r="S285" s="4" t="s">
        <v>26</v>
      </c>
      <c r="T285" s="12">
        <v>3</v>
      </c>
      <c r="U285" s="7"/>
      <c r="V285" s="7"/>
      <c r="W285" s="8"/>
      <c r="X285" s="9"/>
      <c r="Y285" s="9"/>
      <c r="Z285" s="9"/>
      <c r="AA285" s="10"/>
      <c r="AB285" s="11"/>
      <c r="AC285"/>
      <c r="AD285"/>
      <c r="AE285"/>
      <c r="AF285"/>
      <c r="AG285"/>
    </row>
    <row r="286" spans="1:33" x14ac:dyDescent="0.2">
      <c r="A286" s="1" t="s">
        <v>69</v>
      </c>
      <c r="B286" s="5" t="s">
        <v>15</v>
      </c>
      <c r="C286" s="2"/>
      <c r="D286" s="3"/>
      <c r="E286" s="11" t="s">
        <v>160</v>
      </c>
      <c r="F286" s="2"/>
      <c r="G286" s="2">
        <v>0</v>
      </c>
      <c r="H286" s="11"/>
      <c r="I286" s="2"/>
      <c r="J286" s="2">
        <v>0</v>
      </c>
      <c r="K286" s="12" t="s">
        <v>30</v>
      </c>
      <c r="L286" s="2">
        <v>0.16666666999999999</v>
      </c>
      <c r="M286" s="3">
        <v>40.000000999999997</v>
      </c>
      <c r="N286" s="2">
        <v>0</v>
      </c>
      <c r="O286" s="2">
        <v>0</v>
      </c>
      <c r="P286" s="6">
        <v>3.3333000000000002E-2</v>
      </c>
      <c r="Q286" s="6">
        <v>0.38335000000000002</v>
      </c>
      <c r="R286" s="2">
        <v>2.1299999999999999E-3</v>
      </c>
      <c r="T286" s="12">
        <v>3</v>
      </c>
      <c r="U286" s="7"/>
      <c r="V286" s="7"/>
      <c r="W286" s="8"/>
      <c r="X286" s="9"/>
      <c r="Y286" s="9"/>
      <c r="Z286" s="9"/>
      <c r="AA286" s="10"/>
      <c r="AB286" s="11"/>
      <c r="AC286"/>
      <c r="AD286"/>
      <c r="AE286"/>
      <c r="AF286"/>
      <c r="AG286"/>
    </row>
    <row r="287" spans="1:33" x14ac:dyDescent="0.2">
      <c r="A287" s="1" t="s">
        <v>69</v>
      </c>
      <c r="B287" s="5" t="s">
        <v>15</v>
      </c>
      <c r="C287" s="2"/>
      <c r="D287" s="3"/>
      <c r="E287" s="11" t="s">
        <v>43</v>
      </c>
      <c r="F287" s="2"/>
      <c r="G287" s="2">
        <v>0</v>
      </c>
      <c r="H287" s="11"/>
      <c r="I287" s="2"/>
      <c r="J287" s="2">
        <v>0</v>
      </c>
      <c r="K287" s="12" t="s">
        <v>30</v>
      </c>
      <c r="L287" s="2">
        <v>0.16666666999999999</v>
      </c>
      <c r="M287" s="3">
        <v>40.000000999999997</v>
      </c>
      <c r="N287" s="2">
        <v>0</v>
      </c>
      <c r="O287" s="2">
        <v>0</v>
      </c>
      <c r="P287" s="6">
        <v>3.3333000000000002E-2</v>
      </c>
      <c r="Q287" s="6">
        <v>5.4999999999999997E-3</v>
      </c>
      <c r="R287" s="2">
        <v>3.1000000000000001E-5</v>
      </c>
      <c r="T287" s="12">
        <v>3</v>
      </c>
      <c r="U287" s="7"/>
      <c r="V287" s="7"/>
      <c r="W287" s="8"/>
      <c r="X287" s="9"/>
      <c r="Y287" s="9"/>
      <c r="Z287" s="9"/>
      <c r="AA287" s="10"/>
      <c r="AB287" s="11"/>
      <c r="AC287"/>
      <c r="AD287"/>
      <c r="AE287"/>
      <c r="AF287"/>
      <c r="AG287"/>
    </row>
    <row r="288" spans="1:33" x14ac:dyDescent="0.2">
      <c r="A288" s="1" t="s">
        <v>69</v>
      </c>
      <c r="B288" s="5" t="s">
        <v>15</v>
      </c>
      <c r="C288" s="2"/>
      <c r="D288" s="3"/>
      <c r="E288" s="11" t="s">
        <v>30</v>
      </c>
      <c r="F288" s="2"/>
      <c r="G288" s="2">
        <v>0</v>
      </c>
      <c r="H288" s="11"/>
      <c r="I288" s="2"/>
      <c r="J288" s="2">
        <v>0</v>
      </c>
      <c r="K288" s="12" t="s">
        <v>30</v>
      </c>
      <c r="L288" s="2">
        <v>0.125</v>
      </c>
      <c r="M288" s="3">
        <v>30</v>
      </c>
      <c r="N288" s="2">
        <v>0</v>
      </c>
      <c r="O288" s="2">
        <v>0</v>
      </c>
      <c r="P288" s="6">
        <v>3.3333000000000002E-2</v>
      </c>
      <c r="Q288" s="6">
        <v>0.38335000000000002</v>
      </c>
      <c r="R288" s="2">
        <v>1.5969999999999999E-3</v>
      </c>
      <c r="T288" s="12">
        <v>3</v>
      </c>
      <c r="U288" s="7"/>
      <c r="V288" s="7"/>
      <c r="W288" s="8"/>
      <c r="X288" s="9"/>
      <c r="Y288" s="9"/>
      <c r="Z288" s="9"/>
      <c r="AA288" s="10"/>
      <c r="AB288" s="11"/>
      <c r="AC288"/>
      <c r="AD288"/>
      <c r="AE288"/>
      <c r="AF288"/>
      <c r="AG288"/>
    </row>
    <row r="289" spans="1:33" x14ac:dyDescent="0.2">
      <c r="A289" s="1" t="s">
        <v>75</v>
      </c>
      <c r="B289" s="5" t="s">
        <v>15</v>
      </c>
      <c r="C289" s="2"/>
      <c r="D289" s="3"/>
      <c r="E289" s="11" t="s">
        <v>43</v>
      </c>
      <c r="F289" s="2"/>
      <c r="G289" s="2">
        <v>0</v>
      </c>
      <c r="H289" s="11"/>
      <c r="I289" s="2"/>
      <c r="J289" s="2">
        <v>0</v>
      </c>
      <c r="K289" s="12" t="s">
        <v>30</v>
      </c>
      <c r="L289" s="2">
        <v>0.16666666999999999</v>
      </c>
      <c r="M289" s="3">
        <v>40.000000999999997</v>
      </c>
      <c r="N289" s="2">
        <v>0</v>
      </c>
      <c r="O289" s="2">
        <v>0</v>
      </c>
      <c r="P289" s="6">
        <v>3.3333000000000002E-2</v>
      </c>
      <c r="Q289" s="6">
        <v>0.125</v>
      </c>
      <c r="R289" s="2">
        <v>6.9399999999999996E-4</v>
      </c>
      <c r="T289" s="12">
        <v>3</v>
      </c>
      <c r="U289" s="7"/>
      <c r="V289" s="7"/>
      <c r="W289" s="8"/>
      <c r="X289" s="9"/>
      <c r="Y289" s="9"/>
      <c r="Z289" s="9"/>
      <c r="AA289" s="10"/>
      <c r="AB289" s="11"/>
      <c r="AC289"/>
      <c r="AD289"/>
      <c r="AE289"/>
      <c r="AF289"/>
      <c r="AG289"/>
    </row>
    <row r="290" spans="1:33" x14ac:dyDescent="0.2">
      <c r="A290" s="1" t="s">
        <v>75</v>
      </c>
      <c r="B290" s="5" t="s">
        <v>15</v>
      </c>
      <c r="C290" s="2"/>
      <c r="D290" s="3"/>
      <c r="E290" s="11" t="s">
        <v>22</v>
      </c>
      <c r="F290" s="2"/>
      <c r="G290" s="2">
        <v>0</v>
      </c>
      <c r="H290" s="11"/>
      <c r="I290" s="2"/>
      <c r="J290" s="2">
        <v>0</v>
      </c>
      <c r="K290" s="12" t="s">
        <v>30</v>
      </c>
      <c r="L290" s="2">
        <v>6.25E-2</v>
      </c>
      <c r="M290" s="3">
        <v>15</v>
      </c>
      <c r="N290" s="2">
        <v>0</v>
      </c>
      <c r="O290" s="2">
        <v>0</v>
      </c>
      <c r="P290" s="6">
        <v>3.3333000000000002E-2</v>
      </c>
      <c r="Q290" s="6">
        <v>0.125</v>
      </c>
      <c r="R290" s="2">
        <v>2.5999999999999998E-4</v>
      </c>
      <c r="T290" s="12">
        <v>3</v>
      </c>
      <c r="U290" s="7"/>
      <c r="V290" s="7"/>
      <c r="W290" s="8"/>
      <c r="X290" s="9"/>
      <c r="Y290" s="9"/>
      <c r="Z290" s="9"/>
      <c r="AA290" s="10"/>
      <c r="AB290" s="11"/>
      <c r="AC290"/>
      <c r="AD290"/>
      <c r="AE290"/>
      <c r="AF290"/>
      <c r="AG290"/>
    </row>
    <row r="291" spans="1:33" x14ac:dyDescent="0.2">
      <c r="A291" s="1" t="s">
        <v>75</v>
      </c>
      <c r="B291" s="5" t="s">
        <v>15</v>
      </c>
      <c r="C291" s="2"/>
      <c r="D291" s="3"/>
      <c r="E291" s="11" t="s">
        <v>32</v>
      </c>
      <c r="F291" s="2"/>
      <c r="G291" s="2">
        <v>0</v>
      </c>
      <c r="H291" s="11"/>
      <c r="I291" s="2"/>
      <c r="J291" s="2">
        <v>0</v>
      </c>
      <c r="K291" s="12" t="s">
        <v>30</v>
      </c>
      <c r="L291" s="2">
        <v>6.25E-2</v>
      </c>
      <c r="M291" s="3">
        <v>15</v>
      </c>
      <c r="N291" s="2">
        <v>0</v>
      </c>
      <c r="O291" s="2">
        <v>0</v>
      </c>
      <c r="P291" s="6">
        <v>3.3333000000000002E-2</v>
      </c>
      <c r="Q291" s="6">
        <v>0.125</v>
      </c>
      <c r="R291" s="2">
        <v>2.5999999999999998E-4</v>
      </c>
      <c r="T291" s="12">
        <v>3</v>
      </c>
      <c r="U291" s="7"/>
      <c r="V291" s="7"/>
      <c r="W291" s="8"/>
      <c r="X291" s="9"/>
      <c r="Y291" s="9"/>
      <c r="Z291" s="9"/>
      <c r="AA291" s="10"/>
      <c r="AB291" s="11"/>
      <c r="AC291"/>
      <c r="AD291"/>
      <c r="AE291"/>
      <c r="AF291"/>
      <c r="AG291"/>
    </row>
    <row r="292" spans="1:33" x14ac:dyDescent="0.2">
      <c r="A292" s="1" t="s">
        <v>75</v>
      </c>
      <c r="B292" s="5" t="s">
        <v>15</v>
      </c>
      <c r="C292" s="2"/>
      <c r="D292" s="3"/>
      <c r="E292" s="11" t="s">
        <v>46</v>
      </c>
      <c r="F292" s="2"/>
      <c r="G292" s="2">
        <v>0</v>
      </c>
      <c r="H292" s="11"/>
      <c r="I292" s="2"/>
      <c r="J292" s="2">
        <v>0</v>
      </c>
      <c r="K292" s="12" t="s">
        <v>30</v>
      </c>
      <c r="L292" s="2">
        <v>0.16666666999999999</v>
      </c>
      <c r="M292" s="3">
        <v>40.000000999999997</v>
      </c>
      <c r="N292" s="2">
        <v>0</v>
      </c>
      <c r="O292" s="2">
        <v>0</v>
      </c>
      <c r="P292" s="6">
        <v>3.3333000000000002E-2</v>
      </c>
      <c r="Q292" s="6">
        <v>0.125</v>
      </c>
      <c r="R292" s="2">
        <v>6.9399999999999996E-4</v>
      </c>
      <c r="T292" s="12">
        <v>3</v>
      </c>
      <c r="U292" s="7"/>
      <c r="V292" s="7"/>
      <c r="W292" s="8"/>
      <c r="X292" s="9"/>
      <c r="Y292" s="9"/>
      <c r="Z292" s="9"/>
      <c r="AA292" s="10"/>
      <c r="AB292" s="11"/>
      <c r="AC292"/>
      <c r="AD292"/>
      <c r="AE292"/>
      <c r="AF292"/>
      <c r="AG292"/>
    </row>
    <row r="293" spans="1:33" x14ac:dyDescent="0.2">
      <c r="A293" s="1" t="s">
        <v>75</v>
      </c>
      <c r="B293" s="5" t="s">
        <v>15</v>
      </c>
      <c r="C293" s="2"/>
      <c r="D293" s="3"/>
      <c r="E293" s="11" t="s">
        <v>160</v>
      </c>
      <c r="F293" s="2"/>
      <c r="G293" s="2">
        <v>0</v>
      </c>
      <c r="H293" s="11"/>
      <c r="I293" s="2"/>
      <c r="J293" s="2">
        <v>0</v>
      </c>
      <c r="K293" s="12" t="s">
        <v>30</v>
      </c>
      <c r="L293" s="2">
        <v>0.16666666999999999</v>
      </c>
      <c r="M293" s="3">
        <v>40.000000999999997</v>
      </c>
      <c r="N293" s="2">
        <v>0</v>
      </c>
      <c r="O293" s="2">
        <v>0</v>
      </c>
      <c r="P293" s="6">
        <v>3.3333000000000002E-2</v>
      </c>
      <c r="Q293" s="6">
        <v>0.125</v>
      </c>
      <c r="R293" s="2">
        <v>6.9399999999999996E-4</v>
      </c>
      <c r="T293" s="12">
        <v>3</v>
      </c>
      <c r="U293" s="7"/>
      <c r="V293" s="7"/>
      <c r="W293" s="8"/>
      <c r="X293" s="9"/>
      <c r="Y293" s="9"/>
      <c r="Z293" s="9"/>
      <c r="AA293" s="10"/>
      <c r="AB293" s="11"/>
      <c r="AC293"/>
      <c r="AD293"/>
      <c r="AE293"/>
      <c r="AF293"/>
      <c r="AG293"/>
    </row>
    <row r="294" spans="1:33" x14ac:dyDescent="0.2">
      <c r="A294" s="1" t="s">
        <v>75</v>
      </c>
      <c r="B294" s="5" t="s">
        <v>15</v>
      </c>
      <c r="C294" s="2"/>
      <c r="D294" s="3"/>
      <c r="E294" s="11" t="s">
        <v>30</v>
      </c>
      <c r="F294" s="2"/>
      <c r="G294" s="2">
        <v>0</v>
      </c>
      <c r="H294" s="11"/>
      <c r="I294" s="2"/>
      <c r="J294" s="2">
        <v>0</v>
      </c>
      <c r="K294" s="12" t="s">
        <v>30</v>
      </c>
      <c r="L294" s="2">
        <v>0.125</v>
      </c>
      <c r="M294" s="3">
        <v>30</v>
      </c>
      <c r="N294" s="2">
        <v>0</v>
      </c>
      <c r="O294" s="2">
        <v>0</v>
      </c>
      <c r="P294" s="6">
        <v>3.3333000000000002E-2</v>
      </c>
      <c r="Q294" s="6">
        <v>0.125</v>
      </c>
      <c r="R294" s="2">
        <v>5.2099999999999998E-4</v>
      </c>
      <c r="T294" s="12">
        <v>3</v>
      </c>
      <c r="U294" s="7"/>
      <c r="V294" s="7"/>
      <c r="W294" s="8"/>
      <c r="X294" s="9"/>
      <c r="Y294" s="9"/>
      <c r="Z294" s="9"/>
      <c r="AA294" s="10"/>
      <c r="AB294" s="11"/>
      <c r="AC294"/>
      <c r="AD294"/>
      <c r="AE294"/>
      <c r="AF294"/>
      <c r="AG294"/>
    </row>
    <row r="295" spans="1:33" x14ac:dyDescent="0.2">
      <c r="A295" s="1" t="s">
        <v>75</v>
      </c>
      <c r="B295" s="5" t="s">
        <v>15</v>
      </c>
      <c r="C295" s="2"/>
      <c r="D295" s="3"/>
      <c r="E295" s="11" t="s">
        <v>163</v>
      </c>
      <c r="F295" s="2"/>
      <c r="G295" s="2">
        <v>0</v>
      </c>
      <c r="H295" s="11"/>
      <c r="I295" s="2"/>
      <c r="J295" s="2">
        <v>0</v>
      </c>
      <c r="K295" s="12" t="s">
        <v>32</v>
      </c>
      <c r="L295" s="2">
        <v>0.125</v>
      </c>
      <c r="M295" s="3">
        <v>30</v>
      </c>
      <c r="N295" s="2">
        <v>0</v>
      </c>
      <c r="O295" s="2">
        <v>0</v>
      </c>
      <c r="P295" s="6">
        <v>0.05</v>
      </c>
      <c r="Q295" s="6">
        <v>0.125</v>
      </c>
      <c r="R295" s="2">
        <v>7.8100000000000001E-4</v>
      </c>
      <c r="S295" s="4" t="s">
        <v>26</v>
      </c>
      <c r="T295" s="12">
        <v>3</v>
      </c>
      <c r="U295" s="7"/>
      <c r="V295" s="7"/>
      <c r="W295" s="8"/>
      <c r="X295" s="9"/>
      <c r="Y295" s="9"/>
      <c r="Z295" s="9"/>
      <c r="AA295" s="10"/>
      <c r="AB295" s="11"/>
      <c r="AC295"/>
      <c r="AD295"/>
      <c r="AE295"/>
      <c r="AF295"/>
      <c r="AG295"/>
    </row>
    <row r="296" spans="1:33" x14ac:dyDescent="0.2">
      <c r="A296" s="1" t="s">
        <v>75</v>
      </c>
      <c r="B296" s="5" t="s">
        <v>15</v>
      </c>
      <c r="C296" s="2"/>
      <c r="D296" s="3"/>
      <c r="E296" s="11" t="s">
        <v>164</v>
      </c>
      <c r="F296" s="2"/>
      <c r="G296" s="2">
        <v>0</v>
      </c>
      <c r="H296" s="11"/>
      <c r="I296" s="2"/>
      <c r="J296" s="2">
        <v>0</v>
      </c>
      <c r="K296" s="12" t="s">
        <v>22</v>
      </c>
      <c r="L296" s="2">
        <v>0.125</v>
      </c>
      <c r="M296" s="3">
        <v>30</v>
      </c>
      <c r="N296" s="2">
        <v>0</v>
      </c>
      <c r="O296" s="2">
        <v>0</v>
      </c>
      <c r="P296" s="6">
        <v>0.05</v>
      </c>
      <c r="Q296" s="6">
        <v>0.125</v>
      </c>
      <c r="R296" s="2">
        <v>7.8100000000000001E-4</v>
      </c>
      <c r="S296" s="4" t="s">
        <v>26</v>
      </c>
      <c r="T296" s="12">
        <v>3</v>
      </c>
      <c r="U296" s="7"/>
      <c r="V296" s="7"/>
      <c r="W296" s="8"/>
      <c r="X296" s="9"/>
      <c r="Y296" s="9"/>
      <c r="Z296" s="9"/>
      <c r="AA296" s="10"/>
      <c r="AB296" s="11"/>
      <c r="AC296"/>
      <c r="AD296"/>
      <c r="AE296"/>
      <c r="AF296"/>
      <c r="AG296"/>
    </row>
    <row r="297" spans="1:33" x14ac:dyDescent="0.2">
      <c r="A297" s="1" t="s">
        <v>96</v>
      </c>
      <c r="B297" s="5" t="s">
        <v>15</v>
      </c>
      <c r="C297" s="2"/>
      <c r="D297" s="3"/>
      <c r="E297" s="11" t="s">
        <v>46</v>
      </c>
      <c r="F297" s="2"/>
      <c r="G297" s="2">
        <v>0</v>
      </c>
      <c r="H297" s="11"/>
      <c r="I297" s="2"/>
      <c r="J297" s="2">
        <v>0</v>
      </c>
      <c r="K297" s="12" t="s">
        <v>30</v>
      </c>
      <c r="L297" s="2">
        <v>0.16666666999999999</v>
      </c>
      <c r="M297" s="3">
        <v>40.000000999999997</v>
      </c>
      <c r="N297" s="2">
        <v>0</v>
      </c>
      <c r="O297" s="2">
        <v>0</v>
      </c>
      <c r="P297" s="6">
        <v>3.3333000000000002E-2</v>
      </c>
      <c r="Q297" s="6">
        <v>3.125E-2</v>
      </c>
      <c r="R297" s="2">
        <v>1.74E-4</v>
      </c>
      <c r="T297" s="12">
        <v>3</v>
      </c>
      <c r="U297" s="7"/>
      <c r="V297" s="7"/>
      <c r="W297" s="8"/>
      <c r="X297" s="9"/>
      <c r="Y297" s="9"/>
      <c r="Z297" s="9"/>
      <c r="AA297" s="10"/>
      <c r="AB297" s="11"/>
      <c r="AC297"/>
      <c r="AD297"/>
      <c r="AE297"/>
      <c r="AF297"/>
      <c r="AG297"/>
    </row>
    <row r="298" spans="1:33" x14ac:dyDescent="0.2">
      <c r="A298" s="1" t="s">
        <v>96</v>
      </c>
      <c r="B298" s="5" t="s">
        <v>15</v>
      </c>
      <c r="C298" s="2"/>
      <c r="D298" s="3"/>
      <c r="E298" s="11" t="s">
        <v>163</v>
      </c>
      <c r="F298" s="2"/>
      <c r="G298" s="2">
        <v>0</v>
      </c>
      <c r="H298" s="11"/>
      <c r="I298" s="2"/>
      <c r="J298" s="2">
        <v>0</v>
      </c>
      <c r="K298" s="12" t="s">
        <v>32</v>
      </c>
      <c r="L298" s="2">
        <v>0.125</v>
      </c>
      <c r="M298" s="3">
        <v>30</v>
      </c>
      <c r="N298" s="2">
        <v>0</v>
      </c>
      <c r="O298" s="2">
        <v>0</v>
      </c>
      <c r="P298" s="6">
        <v>0.05</v>
      </c>
      <c r="Q298" s="6">
        <v>3.125E-2</v>
      </c>
      <c r="R298" s="2">
        <v>1.95E-4</v>
      </c>
      <c r="S298" s="4" t="s">
        <v>26</v>
      </c>
      <c r="T298" s="12">
        <v>3</v>
      </c>
      <c r="U298" s="7"/>
      <c r="V298" s="7"/>
      <c r="W298" s="8"/>
      <c r="X298" s="9"/>
      <c r="Y298" s="9"/>
      <c r="Z298" s="9"/>
      <c r="AA298" s="10"/>
      <c r="AB298" s="11"/>
      <c r="AC298"/>
      <c r="AD298"/>
      <c r="AE298"/>
      <c r="AF298"/>
      <c r="AG298"/>
    </row>
    <row r="299" spans="1:33" x14ac:dyDescent="0.2">
      <c r="A299" s="1" t="s">
        <v>96</v>
      </c>
      <c r="B299" s="5" t="s">
        <v>15</v>
      </c>
      <c r="C299" s="2"/>
      <c r="D299" s="3"/>
      <c r="E299" s="11" t="s">
        <v>22</v>
      </c>
      <c r="F299" s="2"/>
      <c r="G299" s="2">
        <v>0</v>
      </c>
      <c r="H299" s="11"/>
      <c r="I299" s="2"/>
      <c r="J299" s="2">
        <v>0</v>
      </c>
      <c r="K299" s="12" t="s">
        <v>30</v>
      </c>
      <c r="L299" s="2">
        <v>6.25E-2</v>
      </c>
      <c r="M299" s="3">
        <v>15</v>
      </c>
      <c r="N299" s="2">
        <v>0</v>
      </c>
      <c r="O299" s="2">
        <v>0</v>
      </c>
      <c r="P299" s="6">
        <v>3.3333000000000002E-2</v>
      </c>
      <c r="Q299" s="6">
        <v>3.125E-2</v>
      </c>
      <c r="R299" s="2">
        <v>6.4999999999999994E-5</v>
      </c>
      <c r="T299" s="12">
        <v>3</v>
      </c>
      <c r="U299" s="7"/>
      <c r="V299" s="7"/>
      <c r="W299" s="8"/>
      <c r="X299" s="9"/>
      <c r="Y299" s="9"/>
      <c r="Z299" s="9"/>
      <c r="AA299" s="10"/>
      <c r="AB299" s="11"/>
      <c r="AC299"/>
      <c r="AD299"/>
      <c r="AE299"/>
      <c r="AF299"/>
      <c r="AG299"/>
    </row>
    <row r="300" spans="1:33" x14ac:dyDescent="0.2">
      <c r="A300" s="1" t="s">
        <v>96</v>
      </c>
      <c r="B300" s="5" t="s">
        <v>15</v>
      </c>
      <c r="C300" s="2"/>
      <c r="D300" s="3"/>
      <c r="E300" s="11" t="s">
        <v>32</v>
      </c>
      <c r="F300" s="2"/>
      <c r="G300" s="2">
        <v>0</v>
      </c>
      <c r="H300" s="11"/>
      <c r="I300" s="2"/>
      <c r="J300" s="2">
        <v>0</v>
      </c>
      <c r="K300" s="12" t="s">
        <v>30</v>
      </c>
      <c r="L300" s="2">
        <v>6.25E-2</v>
      </c>
      <c r="M300" s="3">
        <v>15</v>
      </c>
      <c r="N300" s="2">
        <v>0</v>
      </c>
      <c r="O300" s="2">
        <v>0</v>
      </c>
      <c r="P300" s="6">
        <v>3.3333000000000002E-2</v>
      </c>
      <c r="Q300" s="6">
        <v>3.125E-2</v>
      </c>
      <c r="R300" s="2">
        <v>6.4999999999999994E-5</v>
      </c>
      <c r="T300" s="12">
        <v>3</v>
      </c>
      <c r="U300" s="7"/>
      <c r="V300" s="7"/>
      <c r="W300" s="8"/>
      <c r="X300" s="9"/>
      <c r="Y300" s="9"/>
      <c r="Z300" s="9"/>
      <c r="AA300" s="10"/>
      <c r="AB300" s="11"/>
      <c r="AC300"/>
      <c r="AD300"/>
      <c r="AE300"/>
      <c r="AF300"/>
      <c r="AG300"/>
    </row>
    <row r="301" spans="1:33" x14ac:dyDescent="0.2">
      <c r="A301" s="1" t="s">
        <v>96</v>
      </c>
      <c r="B301" s="5" t="s">
        <v>15</v>
      </c>
      <c r="C301" s="2"/>
      <c r="D301" s="3"/>
      <c r="E301" s="11" t="s">
        <v>30</v>
      </c>
      <c r="F301" s="2"/>
      <c r="G301" s="2">
        <v>0</v>
      </c>
      <c r="H301" s="11"/>
      <c r="I301" s="2"/>
      <c r="J301" s="2">
        <v>0</v>
      </c>
      <c r="K301" s="12" t="s">
        <v>30</v>
      </c>
      <c r="L301" s="2">
        <v>0.125</v>
      </c>
      <c r="M301" s="3">
        <v>30</v>
      </c>
      <c r="N301" s="2">
        <v>0</v>
      </c>
      <c r="O301" s="2">
        <v>0</v>
      </c>
      <c r="P301" s="6">
        <v>3.3333000000000002E-2</v>
      </c>
      <c r="Q301" s="6">
        <v>3.125E-2</v>
      </c>
      <c r="R301" s="2">
        <v>1.2999999999999999E-4</v>
      </c>
      <c r="T301" s="12">
        <v>3</v>
      </c>
      <c r="U301" s="7"/>
      <c r="V301" s="7"/>
      <c r="W301" s="8"/>
      <c r="X301" s="9"/>
      <c r="Y301" s="9"/>
      <c r="Z301" s="9"/>
      <c r="AA301" s="10"/>
      <c r="AB301" s="11"/>
      <c r="AC301"/>
      <c r="AD301"/>
      <c r="AE301"/>
      <c r="AF301"/>
      <c r="AG301"/>
    </row>
    <row r="302" spans="1:33" x14ac:dyDescent="0.2">
      <c r="A302" s="1" t="s">
        <v>96</v>
      </c>
      <c r="B302" s="5" t="s">
        <v>15</v>
      </c>
      <c r="C302" s="2"/>
      <c r="D302" s="3"/>
      <c r="E302" s="11" t="s">
        <v>164</v>
      </c>
      <c r="F302" s="2"/>
      <c r="G302" s="2">
        <v>0</v>
      </c>
      <c r="H302" s="11"/>
      <c r="I302" s="2"/>
      <c r="J302" s="2">
        <v>0</v>
      </c>
      <c r="K302" s="12" t="s">
        <v>22</v>
      </c>
      <c r="L302" s="2">
        <v>0.125</v>
      </c>
      <c r="M302" s="3">
        <v>30</v>
      </c>
      <c r="N302" s="2">
        <v>0</v>
      </c>
      <c r="O302" s="2">
        <v>0</v>
      </c>
      <c r="P302" s="6">
        <v>0.05</v>
      </c>
      <c r="Q302" s="6">
        <v>3.125E-2</v>
      </c>
      <c r="R302" s="2">
        <v>1.95E-4</v>
      </c>
      <c r="S302" s="4" t="s">
        <v>26</v>
      </c>
      <c r="T302" s="12">
        <v>3</v>
      </c>
      <c r="U302" s="7"/>
      <c r="V302" s="7"/>
      <c r="W302" s="8"/>
      <c r="X302" s="9"/>
      <c r="Y302" s="9"/>
      <c r="Z302" s="9"/>
      <c r="AA302" s="10"/>
      <c r="AB302" s="11"/>
      <c r="AC302"/>
      <c r="AD302"/>
      <c r="AE302"/>
      <c r="AF302"/>
      <c r="AG302"/>
    </row>
    <row r="303" spans="1:33" x14ac:dyDescent="0.2">
      <c r="A303" s="1" t="s">
        <v>96</v>
      </c>
      <c r="B303" s="5" t="s">
        <v>15</v>
      </c>
      <c r="C303" s="2"/>
      <c r="D303" s="3"/>
      <c r="E303" s="11" t="s">
        <v>43</v>
      </c>
      <c r="F303" s="2"/>
      <c r="G303" s="2">
        <v>0</v>
      </c>
      <c r="H303" s="11"/>
      <c r="I303" s="2"/>
      <c r="J303" s="2">
        <v>0</v>
      </c>
      <c r="K303" s="12" t="s">
        <v>30</v>
      </c>
      <c r="L303" s="2">
        <v>0.16666666999999999</v>
      </c>
      <c r="M303" s="3">
        <v>40.000000999999997</v>
      </c>
      <c r="N303" s="2">
        <v>0</v>
      </c>
      <c r="O303" s="2">
        <v>0</v>
      </c>
      <c r="P303" s="6">
        <v>3.3333000000000002E-2</v>
      </c>
      <c r="Q303" s="6">
        <v>3.125E-2</v>
      </c>
      <c r="R303" s="2">
        <v>1.74E-4</v>
      </c>
      <c r="T303" s="12">
        <v>3</v>
      </c>
      <c r="U303" s="7"/>
      <c r="V303" s="7"/>
      <c r="W303" s="8"/>
      <c r="X303" s="9"/>
      <c r="Y303" s="9"/>
      <c r="Z303" s="9"/>
      <c r="AA303" s="10"/>
      <c r="AB303" s="11"/>
      <c r="AC303"/>
      <c r="AD303"/>
      <c r="AE303"/>
      <c r="AF303"/>
      <c r="AG303"/>
    </row>
    <row r="304" spans="1:33" x14ac:dyDescent="0.2">
      <c r="A304" s="1" t="s">
        <v>96</v>
      </c>
      <c r="B304" s="5" t="s">
        <v>15</v>
      </c>
      <c r="C304" s="2"/>
      <c r="D304" s="3"/>
      <c r="E304" s="11" t="s">
        <v>160</v>
      </c>
      <c r="F304" s="2"/>
      <c r="G304" s="2">
        <v>0</v>
      </c>
      <c r="H304" s="11"/>
      <c r="I304" s="2"/>
      <c r="J304" s="2">
        <v>0</v>
      </c>
      <c r="K304" s="12" t="s">
        <v>30</v>
      </c>
      <c r="L304" s="2">
        <v>0.16666666999999999</v>
      </c>
      <c r="M304" s="3">
        <v>40.000000999999997</v>
      </c>
      <c r="N304" s="2">
        <v>0</v>
      </c>
      <c r="O304" s="2">
        <v>0</v>
      </c>
      <c r="P304" s="6">
        <v>3.3333000000000002E-2</v>
      </c>
      <c r="Q304" s="6">
        <v>3.125E-2</v>
      </c>
      <c r="R304" s="2">
        <v>1.74E-4</v>
      </c>
      <c r="T304" s="12">
        <v>3</v>
      </c>
      <c r="U304" s="7"/>
      <c r="V304" s="7"/>
      <c r="W304" s="8"/>
      <c r="X304" s="9"/>
      <c r="Y304" s="9"/>
      <c r="Z304" s="9"/>
      <c r="AA304" s="10"/>
      <c r="AB304" s="11"/>
      <c r="AC304"/>
      <c r="AD304"/>
      <c r="AE304"/>
      <c r="AF304"/>
      <c r="AG304"/>
    </row>
    <row r="305" spans="1:33" x14ac:dyDescent="0.2">
      <c r="A305" s="1" t="s">
        <v>137</v>
      </c>
      <c r="B305" s="5" t="s">
        <v>15</v>
      </c>
      <c r="C305" s="2"/>
      <c r="D305" s="3"/>
      <c r="E305" s="11" t="s">
        <v>30</v>
      </c>
      <c r="F305" s="2"/>
      <c r="G305" s="2">
        <v>0</v>
      </c>
      <c r="H305" s="11"/>
      <c r="I305" s="2"/>
      <c r="J305" s="2">
        <v>0</v>
      </c>
      <c r="K305" s="12" t="s">
        <v>30</v>
      </c>
      <c r="L305" s="2">
        <v>0.125</v>
      </c>
      <c r="M305" s="3">
        <v>30</v>
      </c>
      <c r="N305" s="2">
        <v>0</v>
      </c>
      <c r="O305" s="2">
        <v>0</v>
      </c>
      <c r="P305" s="6">
        <v>3.3333000000000002E-2</v>
      </c>
      <c r="Q305" s="6">
        <v>6.25E-2</v>
      </c>
      <c r="R305" s="2">
        <v>2.5999999999999998E-4</v>
      </c>
      <c r="T305" s="12">
        <v>3</v>
      </c>
      <c r="U305" s="7"/>
      <c r="V305" s="7"/>
      <c r="W305" s="8"/>
      <c r="X305" s="9"/>
      <c r="Y305" s="9"/>
      <c r="Z305" s="9"/>
      <c r="AA305" s="10"/>
      <c r="AB305" s="11"/>
      <c r="AC305"/>
      <c r="AD305"/>
      <c r="AE305"/>
      <c r="AF305"/>
      <c r="AG305"/>
    </row>
    <row r="306" spans="1:33" x14ac:dyDescent="0.2">
      <c r="A306" s="1" t="s">
        <v>137</v>
      </c>
      <c r="B306" s="5" t="s">
        <v>15</v>
      </c>
      <c r="C306" s="2"/>
      <c r="D306" s="3"/>
      <c r="E306" s="11" t="s">
        <v>160</v>
      </c>
      <c r="F306" s="2"/>
      <c r="G306" s="2">
        <v>0</v>
      </c>
      <c r="H306" s="11"/>
      <c r="I306" s="2"/>
      <c r="J306" s="2">
        <v>0</v>
      </c>
      <c r="K306" s="12" t="s">
        <v>30</v>
      </c>
      <c r="L306" s="2">
        <v>0.16666666999999999</v>
      </c>
      <c r="M306" s="3">
        <v>40.000000999999997</v>
      </c>
      <c r="N306" s="2">
        <v>0</v>
      </c>
      <c r="O306" s="2">
        <v>0</v>
      </c>
      <c r="P306" s="6">
        <v>3.3333000000000002E-2</v>
      </c>
      <c r="Q306" s="6">
        <v>6.25E-2</v>
      </c>
      <c r="R306" s="2">
        <v>3.4699999999999998E-4</v>
      </c>
      <c r="T306" s="12">
        <v>3</v>
      </c>
      <c r="U306" s="7"/>
      <c r="V306" s="7"/>
      <c r="W306" s="8"/>
      <c r="X306" s="9"/>
      <c r="Y306" s="9"/>
      <c r="Z306" s="9"/>
      <c r="AA306" s="10"/>
      <c r="AB306" s="11"/>
      <c r="AC306"/>
      <c r="AD306"/>
      <c r="AE306"/>
      <c r="AF306"/>
      <c r="AG306"/>
    </row>
    <row r="307" spans="1:33" x14ac:dyDescent="0.2">
      <c r="A307" s="1" t="s">
        <v>137</v>
      </c>
      <c r="B307" s="5" t="s">
        <v>15</v>
      </c>
      <c r="C307" s="2"/>
      <c r="D307" s="3"/>
      <c r="E307" s="11" t="s">
        <v>32</v>
      </c>
      <c r="F307" s="2"/>
      <c r="G307" s="2">
        <v>0</v>
      </c>
      <c r="H307" s="11"/>
      <c r="I307" s="2"/>
      <c r="J307" s="2">
        <v>0</v>
      </c>
      <c r="K307" s="12" t="s">
        <v>30</v>
      </c>
      <c r="L307" s="2">
        <v>6.25E-2</v>
      </c>
      <c r="M307" s="3">
        <v>15</v>
      </c>
      <c r="N307" s="2">
        <v>0</v>
      </c>
      <c r="O307" s="2">
        <v>0</v>
      </c>
      <c r="P307" s="6">
        <v>3.3333000000000002E-2</v>
      </c>
      <c r="Q307" s="6">
        <v>6.25E-2</v>
      </c>
      <c r="R307" s="2">
        <v>1.2999999999999999E-4</v>
      </c>
      <c r="T307" s="12">
        <v>3</v>
      </c>
      <c r="U307" s="7"/>
      <c r="V307" s="7"/>
      <c r="W307" s="8"/>
      <c r="X307" s="9"/>
      <c r="Y307" s="9"/>
      <c r="Z307" s="9"/>
      <c r="AA307" s="10"/>
      <c r="AB307" s="11"/>
      <c r="AC307"/>
      <c r="AD307"/>
      <c r="AE307"/>
      <c r="AF307"/>
      <c r="AG307"/>
    </row>
    <row r="308" spans="1:33" x14ac:dyDescent="0.2">
      <c r="A308" s="1" t="s">
        <v>137</v>
      </c>
      <c r="B308" s="5" t="s">
        <v>15</v>
      </c>
      <c r="C308" s="2"/>
      <c r="D308" s="3"/>
      <c r="E308" s="11" t="s">
        <v>22</v>
      </c>
      <c r="F308" s="2"/>
      <c r="G308" s="2">
        <v>0</v>
      </c>
      <c r="H308" s="11"/>
      <c r="I308" s="2"/>
      <c r="J308" s="2">
        <v>0</v>
      </c>
      <c r="K308" s="12" t="s">
        <v>30</v>
      </c>
      <c r="L308" s="2">
        <v>6.25E-2</v>
      </c>
      <c r="M308" s="3">
        <v>15</v>
      </c>
      <c r="N308" s="2">
        <v>0</v>
      </c>
      <c r="O308" s="2">
        <v>0</v>
      </c>
      <c r="P308" s="6">
        <v>3.3333000000000002E-2</v>
      </c>
      <c r="Q308" s="6">
        <v>6.25E-2</v>
      </c>
      <c r="R308" s="2">
        <v>1.2999999999999999E-4</v>
      </c>
      <c r="T308" s="12">
        <v>3</v>
      </c>
      <c r="U308" s="7"/>
      <c r="V308" s="7"/>
      <c r="W308" s="8"/>
      <c r="X308" s="9"/>
      <c r="Y308" s="9"/>
      <c r="Z308" s="9"/>
      <c r="AA308" s="10"/>
      <c r="AB308" s="11"/>
      <c r="AC308"/>
      <c r="AD308"/>
      <c r="AE308"/>
      <c r="AF308"/>
      <c r="AG308"/>
    </row>
    <row r="309" spans="1:33" x14ac:dyDescent="0.2">
      <c r="A309" s="1" t="s">
        <v>137</v>
      </c>
      <c r="B309" s="5" t="s">
        <v>15</v>
      </c>
      <c r="C309" s="2"/>
      <c r="D309" s="3"/>
      <c r="E309" s="11" t="s">
        <v>164</v>
      </c>
      <c r="F309" s="2"/>
      <c r="G309" s="2">
        <v>0</v>
      </c>
      <c r="H309" s="11"/>
      <c r="I309" s="2"/>
      <c r="J309" s="2">
        <v>0</v>
      </c>
      <c r="K309" s="12" t="s">
        <v>22</v>
      </c>
      <c r="L309" s="2">
        <v>0.125</v>
      </c>
      <c r="M309" s="3">
        <v>30</v>
      </c>
      <c r="N309" s="2">
        <v>0</v>
      </c>
      <c r="O309" s="2">
        <v>0</v>
      </c>
      <c r="P309" s="6">
        <v>0.05</v>
      </c>
      <c r="Q309" s="6">
        <v>6.25E-2</v>
      </c>
      <c r="R309" s="2">
        <v>3.9100000000000002E-4</v>
      </c>
      <c r="S309" s="4" t="s">
        <v>26</v>
      </c>
      <c r="T309" s="12">
        <v>3</v>
      </c>
      <c r="U309" s="7"/>
      <c r="V309" s="7"/>
      <c r="W309" s="8"/>
      <c r="X309" s="9"/>
      <c r="Y309" s="9"/>
      <c r="Z309" s="9"/>
      <c r="AA309" s="10"/>
      <c r="AB309" s="11"/>
      <c r="AC309"/>
      <c r="AD309"/>
      <c r="AE309"/>
      <c r="AF309"/>
      <c r="AG309"/>
    </row>
    <row r="310" spans="1:33" x14ac:dyDescent="0.2">
      <c r="A310" s="1" t="s">
        <v>137</v>
      </c>
      <c r="B310" s="5" t="s">
        <v>15</v>
      </c>
      <c r="C310" s="2"/>
      <c r="D310" s="3"/>
      <c r="E310" s="11" t="s">
        <v>163</v>
      </c>
      <c r="F310" s="2"/>
      <c r="G310" s="2">
        <v>0</v>
      </c>
      <c r="H310" s="11"/>
      <c r="I310" s="2"/>
      <c r="J310" s="2">
        <v>0</v>
      </c>
      <c r="K310" s="12" t="s">
        <v>32</v>
      </c>
      <c r="L310" s="2">
        <v>0.125</v>
      </c>
      <c r="M310" s="3">
        <v>30</v>
      </c>
      <c r="N310" s="2">
        <v>0</v>
      </c>
      <c r="O310" s="2">
        <v>0</v>
      </c>
      <c r="P310" s="6">
        <v>0.05</v>
      </c>
      <c r="Q310" s="6">
        <v>6.25E-2</v>
      </c>
      <c r="R310" s="2">
        <v>3.9100000000000002E-4</v>
      </c>
      <c r="S310" s="4" t="s">
        <v>26</v>
      </c>
      <c r="T310" s="12">
        <v>3</v>
      </c>
      <c r="U310" s="7"/>
      <c r="V310" s="7"/>
      <c r="W310" s="8"/>
      <c r="X310" s="9"/>
      <c r="Y310" s="9"/>
      <c r="Z310" s="9"/>
      <c r="AA310" s="10"/>
      <c r="AB310" s="11"/>
      <c r="AC310"/>
      <c r="AD310"/>
      <c r="AE310"/>
      <c r="AF310"/>
      <c r="AG310"/>
    </row>
    <row r="311" spans="1:33" x14ac:dyDescent="0.2">
      <c r="A311" s="1" t="s">
        <v>137</v>
      </c>
      <c r="B311" s="5" t="s">
        <v>15</v>
      </c>
      <c r="C311" s="2"/>
      <c r="D311" s="3"/>
      <c r="E311" s="11" t="s">
        <v>43</v>
      </c>
      <c r="F311" s="2"/>
      <c r="G311" s="2">
        <v>0</v>
      </c>
      <c r="H311" s="11"/>
      <c r="I311" s="2"/>
      <c r="J311" s="2">
        <v>0</v>
      </c>
      <c r="K311" s="12" t="s">
        <v>30</v>
      </c>
      <c r="L311" s="2">
        <v>0.16666666999999999</v>
      </c>
      <c r="M311" s="3">
        <v>40.000000999999997</v>
      </c>
      <c r="N311" s="2">
        <v>0</v>
      </c>
      <c r="O311" s="2">
        <v>0</v>
      </c>
      <c r="P311" s="6">
        <v>3.3333000000000002E-2</v>
      </c>
      <c r="Q311" s="6">
        <v>6.25E-2</v>
      </c>
      <c r="R311" s="2">
        <v>3.4699999999999998E-4</v>
      </c>
      <c r="T311" s="12">
        <v>3</v>
      </c>
      <c r="U311" s="7"/>
      <c r="V311" s="7"/>
      <c r="W311" s="8"/>
      <c r="X311" s="9"/>
      <c r="Y311" s="9"/>
      <c r="Z311" s="9"/>
      <c r="AA311" s="10"/>
      <c r="AB311" s="11"/>
      <c r="AC311"/>
      <c r="AD311"/>
      <c r="AE311"/>
      <c r="AF311"/>
      <c r="AG311"/>
    </row>
    <row r="312" spans="1:33" x14ac:dyDescent="0.2">
      <c r="A312" s="1" t="s">
        <v>137</v>
      </c>
      <c r="B312" s="5" t="s">
        <v>15</v>
      </c>
      <c r="C312" s="2"/>
      <c r="D312" s="3"/>
      <c r="E312" s="11" t="s">
        <v>46</v>
      </c>
      <c r="F312" s="2"/>
      <c r="G312" s="2">
        <v>0</v>
      </c>
      <c r="H312" s="11"/>
      <c r="I312" s="2"/>
      <c r="J312" s="2">
        <v>0</v>
      </c>
      <c r="K312" s="12" t="s">
        <v>30</v>
      </c>
      <c r="L312" s="2">
        <v>0.16666666999999999</v>
      </c>
      <c r="M312" s="3">
        <v>40.000000999999997</v>
      </c>
      <c r="N312" s="2">
        <v>0</v>
      </c>
      <c r="O312" s="2">
        <v>0</v>
      </c>
      <c r="P312" s="6">
        <v>3.3333000000000002E-2</v>
      </c>
      <c r="Q312" s="6">
        <v>6.25E-2</v>
      </c>
      <c r="R312" s="2">
        <v>3.4699999999999998E-4</v>
      </c>
      <c r="T312" s="12">
        <v>3</v>
      </c>
      <c r="U312" s="7"/>
      <c r="V312" s="7"/>
      <c r="W312" s="8"/>
      <c r="X312" s="9"/>
      <c r="Y312" s="9"/>
      <c r="Z312" s="9"/>
      <c r="AA312" s="10"/>
      <c r="AB312" s="11"/>
      <c r="AC312"/>
      <c r="AD312"/>
      <c r="AE312"/>
      <c r="AF312"/>
      <c r="AG312"/>
    </row>
    <row r="313" spans="1:33" x14ac:dyDescent="0.2">
      <c r="A313" s="1" t="s">
        <v>139</v>
      </c>
      <c r="B313" s="5" t="s">
        <v>15</v>
      </c>
      <c r="C313" s="2"/>
      <c r="D313" s="3"/>
      <c r="E313" s="11" t="s">
        <v>30</v>
      </c>
      <c r="F313" s="2"/>
      <c r="G313" s="2">
        <v>0</v>
      </c>
      <c r="H313" s="11"/>
      <c r="I313" s="2"/>
      <c r="J313" s="2">
        <v>0</v>
      </c>
      <c r="K313" s="12" t="s">
        <v>30</v>
      </c>
      <c r="L313" s="2">
        <v>0.125</v>
      </c>
      <c r="M313" s="3">
        <v>30</v>
      </c>
      <c r="N313" s="2">
        <v>0</v>
      </c>
      <c r="O313" s="2">
        <v>0</v>
      </c>
      <c r="P313" s="6">
        <v>3.3333000000000002E-2</v>
      </c>
      <c r="Q313" s="6">
        <v>0.125</v>
      </c>
      <c r="R313" s="2">
        <v>5.2099999999999998E-4</v>
      </c>
      <c r="T313" s="12">
        <v>3</v>
      </c>
      <c r="U313" s="7"/>
      <c r="V313" s="7"/>
      <c r="W313" s="8"/>
      <c r="X313" s="9"/>
      <c r="Y313" s="9"/>
      <c r="Z313" s="9"/>
      <c r="AA313" s="10"/>
      <c r="AB313" s="11"/>
      <c r="AC313"/>
      <c r="AD313"/>
      <c r="AE313"/>
      <c r="AF313"/>
      <c r="AG313"/>
    </row>
    <row r="314" spans="1:33" x14ac:dyDescent="0.2">
      <c r="A314" s="1" t="s">
        <v>139</v>
      </c>
      <c r="B314" s="5" t="s">
        <v>15</v>
      </c>
      <c r="C314" s="2"/>
      <c r="D314" s="3"/>
      <c r="E314" s="11" t="s">
        <v>164</v>
      </c>
      <c r="F314" s="2"/>
      <c r="G314" s="2">
        <v>0</v>
      </c>
      <c r="H314" s="11"/>
      <c r="I314" s="2"/>
      <c r="J314" s="2">
        <v>0</v>
      </c>
      <c r="K314" s="12" t="s">
        <v>22</v>
      </c>
      <c r="L314" s="2">
        <v>0.125</v>
      </c>
      <c r="M314" s="3">
        <v>30</v>
      </c>
      <c r="N314" s="2">
        <v>0</v>
      </c>
      <c r="O314" s="2">
        <v>0</v>
      </c>
      <c r="P314" s="6">
        <v>0.05</v>
      </c>
      <c r="Q314" s="6">
        <v>0.125</v>
      </c>
      <c r="R314" s="2">
        <v>7.8100000000000001E-4</v>
      </c>
      <c r="S314" s="4" t="s">
        <v>26</v>
      </c>
      <c r="T314" s="12">
        <v>3</v>
      </c>
      <c r="U314" s="7"/>
      <c r="V314" s="7"/>
      <c r="W314" s="8"/>
      <c r="X314" s="9"/>
      <c r="Y314" s="9"/>
      <c r="Z314" s="9"/>
      <c r="AA314" s="10"/>
      <c r="AB314" s="11"/>
      <c r="AC314"/>
      <c r="AD314"/>
      <c r="AE314"/>
      <c r="AF314"/>
      <c r="AG314"/>
    </row>
    <row r="315" spans="1:33" x14ac:dyDescent="0.2">
      <c r="A315" s="1" t="s">
        <v>139</v>
      </c>
      <c r="B315" s="5" t="s">
        <v>15</v>
      </c>
      <c r="C315" s="2"/>
      <c r="D315" s="3"/>
      <c r="E315" s="11" t="s">
        <v>43</v>
      </c>
      <c r="F315" s="2"/>
      <c r="G315" s="2">
        <v>0</v>
      </c>
      <c r="H315" s="11"/>
      <c r="I315" s="2"/>
      <c r="J315" s="2">
        <v>0</v>
      </c>
      <c r="K315" s="12" t="s">
        <v>30</v>
      </c>
      <c r="L315" s="2">
        <v>0.16666666999999999</v>
      </c>
      <c r="M315" s="3">
        <v>40.000000999999997</v>
      </c>
      <c r="N315" s="2">
        <v>0</v>
      </c>
      <c r="O315" s="2">
        <v>0</v>
      </c>
      <c r="P315" s="6">
        <v>3.3333000000000002E-2</v>
      </c>
      <c r="Q315" s="6">
        <v>0.125</v>
      </c>
      <c r="R315" s="2">
        <v>6.9399999999999996E-4</v>
      </c>
      <c r="T315" s="12">
        <v>3</v>
      </c>
      <c r="U315" s="7"/>
      <c r="V315" s="7"/>
      <c r="W315" s="8"/>
      <c r="X315" s="9"/>
      <c r="Y315" s="9"/>
      <c r="Z315" s="9"/>
      <c r="AA315" s="10"/>
      <c r="AB315" s="11"/>
      <c r="AC315"/>
      <c r="AD315"/>
      <c r="AE315"/>
      <c r="AF315"/>
      <c r="AG315"/>
    </row>
    <row r="316" spans="1:33" x14ac:dyDescent="0.2">
      <c r="A316" s="1" t="s">
        <v>139</v>
      </c>
      <c r="B316" s="5" t="s">
        <v>15</v>
      </c>
      <c r="C316" s="2"/>
      <c r="D316" s="3"/>
      <c r="E316" s="11" t="s">
        <v>46</v>
      </c>
      <c r="F316" s="2"/>
      <c r="G316" s="2">
        <v>0</v>
      </c>
      <c r="H316" s="11"/>
      <c r="I316" s="2"/>
      <c r="J316" s="2">
        <v>0</v>
      </c>
      <c r="K316" s="12" t="s">
        <v>30</v>
      </c>
      <c r="L316" s="2">
        <v>0.16666666999999999</v>
      </c>
      <c r="M316" s="3">
        <v>40.000000999999997</v>
      </c>
      <c r="N316" s="2">
        <v>0</v>
      </c>
      <c r="O316" s="2">
        <v>0</v>
      </c>
      <c r="P316" s="6">
        <v>3.3333000000000002E-2</v>
      </c>
      <c r="Q316" s="6">
        <v>0.125</v>
      </c>
      <c r="R316" s="2">
        <v>6.9399999999999996E-4</v>
      </c>
      <c r="T316" s="12">
        <v>3</v>
      </c>
      <c r="U316" s="7"/>
      <c r="V316" s="7"/>
      <c r="W316" s="8"/>
      <c r="X316" s="9"/>
      <c r="Y316" s="9"/>
      <c r="Z316" s="9"/>
      <c r="AA316" s="10"/>
      <c r="AB316" s="11"/>
      <c r="AC316"/>
      <c r="AD316"/>
      <c r="AE316"/>
      <c r="AF316"/>
      <c r="AG316"/>
    </row>
    <row r="317" spans="1:33" x14ac:dyDescent="0.2">
      <c r="A317" s="1" t="s">
        <v>139</v>
      </c>
      <c r="B317" s="5" t="s">
        <v>15</v>
      </c>
      <c r="C317" s="2"/>
      <c r="D317" s="3"/>
      <c r="E317" s="11" t="s">
        <v>160</v>
      </c>
      <c r="F317" s="2"/>
      <c r="G317" s="2">
        <v>0</v>
      </c>
      <c r="H317" s="11"/>
      <c r="I317" s="2"/>
      <c r="J317" s="2">
        <v>0</v>
      </c>
      <c r="K317" s="12" t="s">
        <v>30</v>
      </c>
      <c r="L317" s="2">
        <v>0.16666666999999999</v>
      </c>
      <c r="M317" s="3">
        <v>40.000000999999997</v>
      </c>
      <c r="N317" s="2">
        <v>0</v>
      </c>
      <c r="O317" s="2">
        <v>0</v>
      </c>
      <c r="P317" s="6">
        <v>3.3333000000000002E-2</v>
      </c>
      <c r="Q317" s="6">
        <v>0.125</v>
      </c>
      <c r="R317" s="2">
        <v>6.9399999999999996E-4</v>
      </c>
      <c r="T317" s="12">
        <v>3</v>
      </c>
      <c r="U317" s="7"/>
      <c r="V317" s="7"/>
      <c r="W317" s="8"/>
      <c r="X317" s="9"/>
      <c r="Y317" s="9"/>
      <c r="Z317" s="9"/>
      <c r="AA317" s="10"/>
      <c r="AB317" s="11"/>
      <c r="AC317"/>
      <c r="AD317"/>
      <c r="AE317"/>
      <c r="AF317"/>
      <c r="AG317"/>
    </row>
    <row r="318" spans="1:33" x14ac:dyDescent="0.2">
      <c r="A318" s="1" t="s">
        <v>139</v>
      </c>
      <c r="B318" s="5" t="s">
        <v>15</v>
      </c>
      <c r="C318" s="2"/>
      <c r="D318" s="3"/>
      <c r="E318" s="11" t="s">
        <v>163</v>
      </c>
      <c r="F318" s="2"/>
      <c r="G318" s="2">
        <v>0</v>
      </c>
      <c r="H318" s="11"/>
      <c r="I318" s="2"/>
      <c r="J318" s="2">
        <v>0</v>
      </c>
      <c r="K318" s="12" t="s">
        <v>32</v>
      </c>
      <c r="L318" s="2">
        <v>0.125</v>
      </c>
      <c r="M318" s="3">
        <v>30</v>
      </c>
      <c r="N318" s="2">
        <v>0</v>
      </c>
      <c r="O318" s="2">
        <v>0</v>
      </c>
      <c r="P318" s="6">
        <v>0.05</v>
      </c>
      <c r="Q318" s="6">
        <v>0.125</v>
      </c>
      <c r="R318" s="2">
        <v>7.8100000000000001E-4</v>
      </c>
      <c r="S318" s="4" t="s">
        <v>26</v>
      </c>
      <c r="T318" s="12">
        <v>3</v>
      </c>
      <c r="U318" s="7"/>
      <c r="V318" s="7"/>
      <c r="W318" s="8"/>
      <c r="X318" s="9"/>
      <c r="Y318" s="9"/>
      <c r="Z318" s="9"/>
      <c r="AA318" s="10"/>
      <c r="AB318" s="11"/>
      <c r="AC318"/>
      <c r="AD318"/>
      <c r="AE318"/>
      <c r="AF318"/>
      <c r="AG318"/>
    </row>
    <row r="319" spans="1:33" x14ac:dyDescent="0.2">
      <c r="A319" s="1" t="s">
        <v>139</v>
      </c>
      <c r="B319" s="5" t="s">
        <v>15</v>
      </c>
      <c r="C319" s="2"/>
      <c r="D319" s="3"/>
      <c r="E319" s="11" t="s">
        <v>32</v>
      </c>
      <c r="F319" s="2"/>
      <c r="G319" s="2">
        <v>0</v>
      </c>
      <c r="H319" s="11"/>
      <c r="I319" s="2"/>
      <c r="J319" s="2">
        <v>0</v>
      </c>
      <c r="K319" s="12" t="s">
        <v>30</v>
      </c>
      <c r="L319" s="2">
        <v>6.25E-2</v>
      </c>
      <c r="M319" s="3">
        <v>15</v>
      </c>
      <c r="N319" s="2">
        <v>0</v>
      </c>
      <c r="O319" s="2">
        <v>0</v>
      </c>
      <c r="P319" s="6">
        <v>3.3333000000000002E-2</v>
      </c>
      <c r="Q319" s="6">
        <v>0.125</v>
      </c>
      <c r="R319" s="2">
        <v>2.5999999999999998E-4</v>
      </c>
      <c r="T319" s="12">
        <v>3</v>
      </c>
      <c r="U319" s="7"/>
      <c r="V319" s="7"/>
      <c r="W319" s="8"/>
      <c r="X319" s="9"/>
      <c r="Y319" s="9"/>
      <c r="Z319" s="9"/>
      <c r="AA319" s="10"/>
      <c r="AB319" s="11"/>
      <c r="AC319"/>
      <c r="AD319"/>
      <c r="AE319"/>
      <c r="AF319"/>
      <c r="AG319"/>
    </row>
    <row r="320" spans="1:33" x14ac:dyDescent="0.2">
      <c r="A320" s="1" t="s">
        <v>139</v>
      </c>
      <c r="B320" s="5" t="s">
        <v>15</v>
      </c>
      <c r="C320" s="2"/>
      <c r="D320" s="3"/>
      <c r="E320" s="11" t="s">
        <v>22</v>
      </c>
      <c r="F320" s="2"/>
      <c r="G320" s="2">
        <v>0</v>
      </c>
      <c r="H320" s="11"/>
      <c r="I320" s="2"/>
      <c r="J320" s="2">
        <v>0</v>
      </c>
      <c r="K320" s="12" t="s">
        <v>30</v>
      </c>
      <c r="L320" s="2">
        <v>6.25E-2</v>
      </c>
      <c r="M320" s="3">
        <v>15</v>
      </c>
      <c r="N320" s="2">
        <v>0</v>
      </c>
      <c r="O320" s="2">
        <v>0</v>
      </c>
      <c r="P320" s="6">
        <v>3.3333000000000002E-2</v>
      </c>
      <c r="Q320" s="6">
        <v>0.125</v>
      </c>
      <c r="R320" s="2">
        <v>2.5999999999999998E-4</v>
      </c>
      <c r="T320" s="12">
        <v>3</v>
      </c>
      <c r="U320" s="7"/>
      <c r="V320" s="7"/>
      <c r="W320" s="8"/>
      <c r="X320" s="9"/>
      <c r="Y320" s="9"/>
      <c r="Z320" s="9"/>
      <c r="AA320" s="10"/>
      <c r="AB320" s="11"/>
      <c r="AC320"/>
      <c r="AD320"/>
      <c r="AE320"/>
      <c r="AF320"/>
      <c r="AG320"/>
    </row>
    <row r="321" spans="1:33" ht="25.5" x14ac:dyDescent="0.2">
      <c r="A321" s="1" t="s">
        <v>152</v>
      </c>
      <c r="B321" s="5" t="s">
        <v>15</v>
      </c>
      <c r="C321" s="2"/>
      <c r="D321" s="3"/>
      <c r="E321" s="11" t="s">
        <v>46</v>
      </c>
      <c r="F321" s="2"/>
      <c r="G321" s="2">
        <v>0</v>
      </c>
      <c r="H321" s="11"/>
      <c r="I321" s="2"/>
      <c r="J321" s="2">
        <v>0</v>
      </c>
      <c r="K321" s="12" t="s">
        <v>30</v>
      </c>
      <c r="L321" s="2">
        <v>0.16666666999999999</v>
      </c>
      <c r="M321" s="3">
        <v>40.000000999999997</v>
      </c>
      <c r="N321" s="2">
        <v>0</v>
      </c>
      <c r="O321" s="2">
        <v>0</v>
      </c>
      <c r="P321" s="6">
        <v>3.3333000000000002E-2</v>
      </c>
      <c r="Q321" s="6">
        <v>8.3349999999999994E-2</v>
      </c>
      <c r="R321" s="2">
        <v>4.6299999999999998E-4</v>
      </c>
      <c r="T321" s="12">
        <v>3</v>
      </c>
      <c r="U321" s="7"/>
      <c r="V321" s="7"/>
      <c r="W321" s="8"/>
      <c r="X321" s="9"/>
      <c r="Y321" s="9"/>
      <c r="Z321" s="9"/>
      <c r="AA321" s="10"/>
      <c r="AB321" s="11"/>
      <c r="AC321"/>
      <c r="AD321"/>
      <c r="AE321"/>
      <c r="AF321"/>
      <c r="AG321"/>
    </row>
    <row r="322" spans="1:33" ht="25.5" x14ac:dyDescent="0.2">
      <c r="A322" s="1" t="s">
        <v>152</v>
      </c>
      <c r="B322" s="5" t="s">
        <v>15</v>
      </c>
      <c r="C322" s="2"/>
      <c r="D322" s="3"/>
      <c r="E322" s="11" t="s">
        <v>164</v>
      </c>
      <c r="F322" s="2"/>
      <c r="G322" s="2">
        <v>0</v>
      </c>
      <c r="H322" s="11"/>
      <c r="I322" s="2"/>
      <c r="J322" s="2">
        <v>0</v>
      </c>
      <c r="K322" s="12" t="s">
        <v>22</v>
      </c>
      <c r="L322" s="2">
        <v>0.125</v>
      </c>
      <c r="M322" s="3">
        <v>30</v>
      </c>
      <c r="N322" s="2">
        <v>0</v>
      </c>
      <c r="O322" s="2">
        <v>0</v>
      </c>
      <c r="P322" s="6">
        <v>0.05</v>
      </c>
      <c r="Q322" s="6">
        <v>8.3349999999999994E-2</v>
      </c>
      <c r="R322" s="2">
        <v>5.2099999999999998E-4</v>
      </c>
      <c r="S322" s="4" t="s">
        <v>26</v>
      </c>
      <c r="T322" s="12">
        <v>3</v>
      </c>
      <c r="U322" s="7"/>
      <c r="V322" s="7"/>
      <c r="W322" s="8"/>
      <c r="X322" s="9"/>
      <c r="Y322" s="9"/>
      <c r="Z322" s="9"/>
      <c r="AA322" s="10"/>
      <c r="AB322" s="11"/>
      <c r="AC322"/>
      <c r="AD322"/>
      <c r="AE322"/>
      <c r="AF322"/>
      <c r="AG322"/>
    </row>
    <row r="323" spans="1:33" ht="25.5" x14ac:dyDescent="0.2">
      <c r="A323" s="1" t="s">
        <v>152</v>
      </c>
      <c r="B323" s="5" t="s">
        <v>15</v>
      </c>
      <c r="C323" s="2"/>
      <c r="D323" s="3"/>
      <c r="E323" s="11" t="s">
        <v>160</v>
      </c>
      <c r="F323" s="2"/>
      <c r="G323" s="2">
        <v>0</v>
      </c>
      <c r="H323" s="11"/>
      <c r="I323" s="2"/>
      <c r="J323" s="2">
        <v>0</v>
      </c>
      <c r="K323" s="12" t="s">
        <v>30</v>
      </c>
      <c r="L323" s="2">
        <v>0.16666666999999999</v>
      </c>
      <c r="M323" s="3">
        <v>40.000000999999997</v>
      </c>
      <c r="N323" s="2">
        <v>0</v>
      </c>
      <c r="O323" s="2">
        <v>0</v>
      </c>
      <c r="P323" s="6">
        <v>3.3333000000000002E-2</v>
      </c>
      <c r="Q323" s="6">
        <v>8.3349999999999994E-2</v>
      </c>
      <c r="R323" s="2">
        <v>4.6299999999999998E-4</v>
      </c>
      <c r="T323" s="12">
        <v>3</v>
      </c>
      <c r="U323" s="7"/>
      <c r="V323" s="7"/>
      <c r="W323" s="8"/>
      <c r="X323" s="9"/>
      <c r="Y323" s="9"/>
      <c r="Z323" s="9"/>
      <c r="AA323" s="10"/>
      <c r="AB323" s="11"/>
      <c r="AC323"/>
      <c r="AD323"/>
      <c r="AE323"/>
      <c r="AF323"/>
      <c r="AG323"/>
    </row>
    <row r="324" spans="1:33" ht="25.5" x14ac:dyDescent="0.2">
      <c r="A324" s="1" t="s">
        <v>152</v>
      </c>
      <c r="B324" s="5" t="s">
        <v>15</v>
      </c>
      <c r="C324" s="2"/>
      <c r="D324" s="3"/>
      <c r="E324" s="11" t="s">
        <v>43</v>
      </c>
      <c r="F324" s="2"/>
      <c r="G324" s="2">
        <v>0</v>
      </c>
      <c r="H324" s="11"/>
      <c r="I324" s="2"/>
      <c r="J324" s="2">
        <v>0</v>
      </c>
      <c r="K324" s="12" t="s">
        <v>30</v>
      </c>
      <c r="L324" s="2">
        <v>0.16666666999999999</v>
      </c>
      <c r="M324" s="3">
        <v>40.000000999999997</v>
      </c>
      <c r="N324" s="2">
        <v>0</v>
      </c>
      <c r="O324" s="2">
        <v>0</v>
      </c>
      <c r="P324" s="6">
        <v>3.3333000000000002E-2</v>
      </c>
      <c r="Q324" s="6">
        <v>8.3349999999999994E-2</v>
      </c>
      <c r="R324" s="2">
        <v>4.6299999999999998E-4</v>
      </c>
      <c r="T324" s="12">
        <v>3</v>
      </c>
      <c r="U324" s="7"/>
      <c r="V324" s="7"/>
      <c r="W324" s="8"/>
      <c r="X324" s="9"/>
      <c r="Y324" s="9"/>
      <c r="Z324" s="9"/>
      <c r="AA324" s="10"/>
      <c r="AB324" s="11"/>
      <c r="AC324"/>
      <c r="AD324"/>
      <c r="AE324"/>
      <c r="AF324"/>
      <c r="AG324"/>
    </row>
    <row r="325" spans="1:33" ht="25.5" x14ac:dyDescent="0.2">
      <c r="A325" s="1" t="s">
        <v>152</v>
      </c>
      <c r="B325" s="5" t="s">
        <v>15</v>
      </c>
      <c r="C325" s="2"/>
      <c r="D325" s="3"/>
      <c r="E325" s="11" t="s">
        <v>163</v>
      </c>
      <c r="F325" s="2"/>
      <c r="G325" s="2">
        <v>0</v>
      </c>
      <c r="H325" s="11"/>
      <c r="I325" s="2"/>
      <c r="J325" s="2">
        <v>0</v>
      </c>
      <c r="K325" s="12" t="s">
        <v>32</v>
      </c>
      <c r="L325" s="2">
        <v>0.125</v>
      </c>
      <c r="M325" s="3">
        <v>30</v>
      </c>
      <c r="N325" s="2">
        <v>0</v>
      </c>
      <c r="O325" s="2">
        <v>0</v>
      </c>
      <c r="P325" s="6">
        <v>0.05</v>
      </c>
      <c r="Q325" s="6">
        <v>8.3349999999999994E-2</v>
      </c>
      <c r="R325" s="2">
        <v>5.2099999999999998E-4</v>
      </c>
      <c r="S325" s="4" t="s">
        <v>26</v>
      </c>
      <c r="T325" s="12">
        <v>3</v>
      </c>
      <c r="U325" s="7"/>
      <c r="V325" s="7"/>
      <c r="W325" s="8"/>
      <c r="X325" s="9"/>
      <c r="Y325" s="9"/>
      <c r="Z325" s="9"/>
      <c r="AA325" s="10"/>
      <c r="AB325" s="11"/>
      <c r="AC325"/>
      <c r="AD325"/>
      <c r="AE325"/>
      <c r="AF325"/>
      <c r="AG325"/>
    </row>
    <row r="326" spans="1:33" ht="25.5" x14ac:dyDescent="0.2">
      <c r="A326" s="1" t="s">
        <v>152</v>
      </c>
      <c r="B326" s="5" t="s">
        <v>15</v>
      </c>
      <c r="C326" s="2"/>
      <c r="D326" s="3"/>
      <c r="E326" s="11" t="s">
        <v>22</v>
      </c>
      <c r="F326" s="2"/>
      <c r="G326" s="2">
        <v>0</v>
      </c>
      <c r="H326" s="11"/>
      <c r="I326" s="2"/>
      <c r="J326" s="2">
        <v>0</v>
      </c>
      <c r="K326" s="12" t="s">
        <v>30</v>
      </c>
      <c r="L326" s="2">
        <v>6.25E-2</v>
      </c>
      <c r="M326" s="3">
        <v>15</v>
      </c>
      <c r="N326" s="2">
        <v>0</v>
      </c>
      <c r="O326" s="2">
        <v>0</v>
      </c>
      <c r="P326" s="6">
        <v>3.3333000000000002E-2</v>
      </c>
      <c r="Q326" s="6">
        <v>8.3349999999999994E-2</v>
      </c>
      <c r="R326" s="2">
        <v>1.74E-4</v>
      </c>
      <c r="T326" s="12">
        <v>3</v>
      </c>
      <c r="U326" s="7"/>
      <c r="V326" s="7"/>
      <c r="W326" s="8"/>
      <c r="X326" s="9"/>
      <c r="Y326" s="9"/>
      <c r="Z326" s="9"/>
      <c r="AA326" s="10"/>
      <c r="AB326" s="11"/>
      <c r="AC326"/>
      <c r="AD326"/>
      <c r="AE326"/>
      <c r="AF326"/>
      <c r="AG326"/>
    </row>
    <row r="327" spans="1:33" ht="25.5" x14ac:dyDescent="0.2">
      <c r="A327" s="1" t="s">
        <v>152</v>
      </c>
      <c r="B327" s="5" t="s">
        <v>15</v>
      </c>
      <c r="C327" s="2"/>
      <c r="D327" s="3"/>
      <c r="E327" s="11" t="s">
        <v>32</v>
      </c>
      <c r="F327" s="2"/>
      <c r="G327" s="2">
        <v>0</v>
      </c>
      <c r="H327" s="11"/>
      <c r="I327" s="2"/>
      <c r="J327" s="2">
        <v>0</v>
      </c>
      <c r="K327" s="12" t="s">
        <v>30</v>
      </c>
      <c r="L327" s="2">
        <v>6.25E-2</v>
      </c>
      <c r="M327" s="3">
        <v>15</v>
      </c>
      <c r="N327" s="2">
        <v>0</v>
      </c>
      <c r="O327" s="2">
        <v>0</v>
      </c>
      <c r="P327" s="6">
        <v>3.3333000000000002E-2</v>
      </c>
      <c r="Q327" s="6">
        <v>8.3349999999999994E-2</v>
      </c>
      <c r="R327" s="2">
        <v>1.74E-4</v>
      </c>
      <c r="T327" s="12">
        <v>3</v>
      </c>
      <c r="U327" s="7"/>
      <c r="V327" s="7"/>
      <c r="W327" s="8"/>
      <c r="X327" s="9"/>
      <c r="Y327" s="9"/>
      <c r="Z327" s="9"/>
      <c r="AA327" s="10"/>
      <c r="AB327" s="11"/>
      <c r="AC327"/>
      <c r="AD327"/>
      <c r="AE327"/>
      <c r="AF327"/>
      <c r="AG327"/>
    </row>
    <row r="328" spans="1:33" ht="25.5" x14ac:dyDescent="0.2">
      <c r="A328" s="1" t="s">
        <v>152</v>
      </c>
      <c r="B328" s="5" t="s">
        <v>15</v>
      </c>
      <c r="C328" s="2"/>
      <c r="D328" s="3"/>
      <c r="E328" s="11" t="s">
        <v>30</v>
      </c>
      <c r="F328" s="2"/>
      <c r="G328" s="2">
        <v>0</v>
      </c>
      <c r="H328" s="11"/>
      <c r="I328" s="2"/>
      <c r="J328" s="2">
        <v>0</v>
      </c>
      <c r="K328" s="12" t="s">
        <v>30</v>
      </c>
      <c r="L328" s="2">
        <v>0.125</v>
      </c>
      <c r="M328" s="3">
        <v>30</v>
      </c>
      <c r="N328" s="2">
        <v>0</v>
      </c>
      <c r="O328" s="2">
        <v>0</v>
      </c>
      <c r="P328" s="6">
        <v>3.3333000000000002E-2</v>
      </c>
      <c r="Q328" s="6">
        <v>8.3349999999999994E-2</v>
      </c>
      <c r="R328" s="2">
        <v>3.4699999999999998E-4</v>
      </c>
      <c r="T328" s="12">
        <v>3</v>
      </c>
      <c r="U328" s="7"/>
      <c r="V328" s="7"/>
      <c r="W328" s="8"/>
      <c r="X328" s="9"/>
      <c r="Y328" s="9"/>
      <c r="Z328" s="9"/>
      <c r="AA328" s="10"/>
      <c r="AB328" s="11"/>
      <c r="AC328"/>
      <c r="AD328"/>
      <c r="AE328"/>
      <c r="AF328"/>
      <c r="AG328"/>
    </row>
    <row r="329" spans="1:33" x14ac:dyDescent="0.2">
      <c r="A329" s="1" t="s">
        <v>159</v>
      </c>
      <c r="B329" s="5" t="s">
        <v>15</v>
      </c>
      <c r="C329" s="2"/>
      <c r="D329" s="3"/>
      <c r="E329" s="11" t="s">
        <v>43</v>
      </c>
      <c r="F329" s="2"/>
      <c r="G329" s="2">
        <v>0</v>
      </c>
      <c r="H329" s="11"/>
      <c r="I329" s="2"/>
      <c r="J329" s="2">
        <v>0</v>
      </c>
      <c r="K329" s="12" t="s">
        <v>30</v>
      </c>
      <c r="L329" s="2">
        <v>0.16666666999999999</v>
      </c>
      <c r="M329" s="3">
        <v>40.000000999999997</v>
      </c>
      <c r="N329" s="2">
        <v>0</v>
      </c>
      <c r="O329" s="2">
        <v>0</v>
      </c>
      <c r="P329" s="6">
        <v>3.3333000000000002E-2</v>
      </c>
      <c r="Q329" s="6">
        <v>6.25E-2</v>
      </c>
      <c r="R329" s="2">
        <v>3.4699999999999998E-4</v>
      </c>
      <c r="T329" s="12">
        <v>3</v>
      </c>
      <c r="U329" s="7"/>
      <c r="V329" s="7"/>
      <c r="W329" s="8"/>
      <c r="X329" s="9"/>
      <c r="Y329" s="9"/>
      <c r="Z329" s="9"/>
      <c r="AA329" s="10"/>
      <c r="AB329" s="11"/>
      <c r="AC329"/>
      <c r="AD329"/>
      <c r="AE329"/>
      <c r="AF329"/>
      <c r="AG329"/>
    </row>
    <row r="330" spans="1:33" x14ac:dyDescent="0.2">
      <c r="A330" s="1" t="s">
        <v>159</v>
      </c>
      <c r="B330" s="5" t="s">
        <v>15</v>
      </c>
      <c r="C330" s="2"/>
      <c r="D330" s="3"/>
      <c r="E330" s="11" t="s">
        <v>160</v>
      </c>
      <c r="F330" s="2"/>
      <c r="G330" s="2">
        <v>0</v>
      </c>
      <c r="H330" s="11"/>
      <c r="I330" s="2"/>
      <c r="J330" s="2">
        <v>0</v>
      </c>
      <c r="K330" s="12" t="s">
        <v>30</v>
      </c>
      <c r="L330" s="2">
        <v>0.16666666999999999</v>
      </c>
      <c r="M330" s="3">
        <v>40.000000999999997</v>
      </c>
      <c r="N330" s="2">
        <v>0</v>
      </c>
      <c r="O330" s="2">
        <v>0</v>
      </c>
      <c r="P330" s="6">
        <v>3.3333000000000002E-2</v>
      </c>
      <c r="Q330" s="6">
        <v>6.25E-2</v>
      </c>
      <c r="R330" s="2">
        <v>3.4699999999999998E-4</v>
      </c>
      <c r="T330" s="12">
        <v>3</v>
      </c>
      <c r="U330" s="7"/>
      <c r="V330" s="7"/>
      <c r="W330" s="8"/>
      <c r="X330" s="9"/>
      <c r="Y330" s="9"/>
      <c r="Z330" s="9"/>
      <c r="AA330" s="10"/>
      <c r="AB330" s="11"/>
      <c r="AC330"/>
      <c r="AD330"/>
      <c r="AE330"/>
      <c r="AF330"/>
      <c r="AG330"/>
    </row>
    <row r="331" spans="1:33" x14ac:dyDescent="0.2">
      <c r="A331" s="1" t="s">
        <v>159</v>
      </c>
      <c r="B331" s="5" t="s">
        <v>15</v>
      </c>
      <c r="C331" s="2"/>
      <c r="D331" s="3"/>
      <c r="E331" s="11" t="s">
        <v>163</v>
      </c>
      <c r="F331" s="2"/>
      <c r="G331" s="2">
        <v>0</v>
      </c>
      <c r="H331" s="11"/>
      <c r="I331" s="2"/>
      <c r="J331" s="2">
        <v>0</v>
      </c>
      <c r="K331" s="12" t="s">
        <v>32</v>
      </c>
      <c r="L331" s="2">
        <v>0.125</v>
      </c>
      <c r="M331" s="3">
        <v>30</v>
      </c>
      <c r="N331" s="2">
        <v>0</v>
      </c>
      <c r="O331" s="2">
        <v>0</v>
      </c>
      <c r="P331" s="6">
        <v>0.05</v>
      </c>
      <c r="Q331" s="6">
        <v>6.25E-2</v>
      </c>
      <c r="R331" s="2">
        <v>3.9100000000000002E-4</v>
      </c>
      <c r="S331" s="4" t="s">
        <v>26</v>
      </c>
      <c r="T331" s="12">
        <v>3</v>
      </c>
      <c r="U331" s="7"/>
      <c r="V331" s="7"/>
      <c r="W331" s="8"/>
      <c r="X331" s="9"/>
      <c r="Y331" s="9"/>
      <c r="Z331" s="9"/>
      <c r="AA331" s="10"/>
      <c r="AB331" s="11"/>
      <c r="AC331"/>
      <c r="AD331"/>
      <c r="AE331"/>
      <c r="AF331"/>
      <c r="AG331"/>
    </row>
    <row r="332" spans="1:33" x14ac:dyDescent="0.2">
      <c r="A332" s="1" t="s">
        <v>159</v>
      </c>
      <c r="B332" s="5" t="s">
        <v>15</v>
      </c>
      <c r="C332" s="2"/>
      <c r="D332" s="3"/>
      <c r="E332" s="11" t="s">
        <v>164</v>
      </c>
      <c r="F332" s="2"/>
      <c r="G332" s="2">
        <v>0</v>
      </c>
      <c r="H332" s="11"/>
      <c r="I332" s="2"/>
      <c r="J332" s="2">
        <v>0</v>
      </c>
      <c r="K332" s="12" t="s">
        <v>22</v>
      </c>
      <c r="L332" s="2">
        <v>0.125</v>
      </c>
      <c r="M332" s="3">
        <v>30</v>
      </c>
      <c r="N332" s="2">
        <v>0</v>
      </c>
      <c r="O332" s="2">
        <v>0</v>
      </c>
      <c r="P332" s="6">
        <v>0.05</v>
      </c>
      <c r="Q332" s="6">
        <v>6.25E-2</v>
      </c>
      <c r="R332" s="2">
        <v>3.9100000000000002E-4</v>
      </c>
      <c r="S332" s="4" t="s">
        <v>26</v>
      </c>
      <c r="T332" s="12">
        <v>3</v>
      </c>
      <c r="U332" s="7"/>
      <c r="V332" s="7"/>
      <c r="W332" s="8"/>
      <c r="X332" s="9"/>
      <c r="Y332" s="9"/>
      <c r="Z332" s="9"/>
      <c r="AA332" s="10"/>
      <c r="AB332" s="11"/>
      <c r="AC332"/>
      <c r="AD332"/>
      <c r="AE332"/>
      <c r="AF332"/>
      <c r="AG332"/>
    </row>
    <row r="333" spans="1:33" x14ac:dyDescent="0.2">
      <c r="A333" s="1" t="s">
        <v>159</v>
      </c>
      <c r="B333" s="5" t="s">
        <v>15</v>
      </c>
      <c r="C333" s="2"/>
      <c r="D333" s="3"/>
      <c r="E333" s="11" t="s">
        <v>22</v>
      </c>
      <c r="F333" s="2"/>
      <c r="G333" s="2">
        <v>0</v>
      </c>
      <c r="H333" s="11"/>
      <c r="I333" s="2"/>
      <c r="J333" s="2">
        <v>0</v>
      </c>
      <c r="K333" s="12" t="s">
        <v>30</v>
      </c>
      <c r="L333" s="2">
        <v>6.25E-2</v>
      </c>
      <c r="M333" s="3">
        <v>15</v>
      </c>
      <c r="N333" s="2">
        <v>0</v>
      </c>
      <c r="O333" s="2">
        <v>0</v>
      </c>
      <c r="P333" s="6">
        <v>3.3333000000000002E-2</v>
      </c>
      <c r="Q333" s="6">
        <v>6.25E-2</v>
      </c>
      <c r="R333" s="2">
        <v>1.2999999999999999E-4</v>
      </c>
      <c r="T333" s="12">
        <v>3</v>
      </c>
      <c r="U333" s="7"/>
      <c r="V333" s="7"/>
      <c r="W333" s="8"/>
      <c r="X333" s="9"/>
      <c r="Y333" s="9"/>
      <c r="Z333" s="9"/>
      <c r="AA333" s="10"/>
      <c r="AB333" s="11"/>
      <c r="AC333"/>
      <c r="AD333"/>
      <c r="AE333"/>
      <c r="AF333"/>
      <c r="AG333"/>
    </row>
    <row r="334" spans="1:33" x14ac:dyDescent="0.2">
      <c r="A334" s="1" t="s">
        <v>159</v>
      </c>
      <c r="B334" s="5" t="s">
        <v>15</v>
      </c>
      <c r="C334" s="2"/>
      <c r="D334" s="3"/>
      <c r="E334" s="11" t="s">
        <v>32</v>
      </c>
      <c r="F334" s="2"/>
      <c r="G334" s="2">
        <v>0</v>
      </c>
      <c r="H334" s="11"/>
      <c r="I334" s="2"/>
      <c r="J334" s="2">
        <v>0</v>
      </c>
      <c r="K334" s="12" t="s">
        <v>30</v>
      </c>
      <c r="L334" s="2">
        <v>6.25E-2</v>
      </c>
      <c r="M334" s="3">
        <v>15</v>
      </c>
      <c r="N334" s="2">
        <v>0</v>
      </c>
      <c r="O334" s="2">
        <v>0</v>
      </c>
      <c r="P334" s="6">
        <v>3.3333000000000002E-2</v>
      </c>
      <c r="Q334" s="6">
        <v>6.25E-2</v>
      </c>
      <c r="R334" s="2">
        <v>1.2999999999999999E-4</v>
      </c>
      <c r="T334" s="12">
        <v>3</v>
      </c>
      <c r="U334" s="7"/>
      <c r="V334" s="7"/>
      <c r="W334" s="8"/>
      <c r="X334" s="9"/>
      <c r="Y334" s="9"/>
      <c r="Z334" s="9"/>
      <c r="AA334" s="10"/>
      <c r="AB334" s="11"/>
      <c r="AC334"/>
      <c r="AD334"/>
      <c r="AE334"/>
      <c r="AF334"/>
      <c r="AG334"/>
    </row>
    <row r="335" spans="1:33" x14ac:dyDescent="0.2">
      <c r="A335" s="1" t="s">
        <v>159</v>
      </c>
      <c r="B335" s="5" t="s">
        <v>15</v>
      </c>
      <c r="C335" s="2"/>
      <c r="D335" s="3"/>
      <c r="E335" s="11" t="s">
        <v>30</v>
      </c>
      <c r="F335" s="2"/>
      <c r="G335" s="2">
        <v>0</v>
      </c>
      <c r="H335" s="11"/>
      <c r="I335" s="2"/>
      <c r="J335" s="2">
        <v>0</v>
      </c>
      <c r="K335" s="12" t="s">
        <v>30</v>
      </c>
      <c r="L335" s="2">
        <v>0.125</v>
      </c>
      <c r="M335" s="3">
        <v>30</v>
      </c>
      <c r="N335" s="2">
        <v>0</v>
      </c>
      <c r="O335" s="2">
        <v>0</v>
      </c>
      <c r="P335" s="6">
        <v>3.3333000000000002E-2</v>
      </c>
      <c r="Q335" s="6">
        <v>6.25E-2</v>
      </c>
      <c r="R335" s="2">
        <v>2.5999999999999998E-4</v>
      </c>
      <c r="T335" s="12">
        <v>3</v>
      </c>
      <c r="U335" s="7"/>
      <c r="V335" s="7"/>
      <c r="W335" s="8"/>
      <c r="X335" s="9"/>
      <c r="Y335" s="9"/>
      <c r="Z335" s="9"/>
      <c r="AA335" s="10"/>
      <c r="AB335" s="11"/>
      <c r="AC335"/>
      <c r="AD335"/>
      <c r="AE335"/>
      <c r="AF335"/>
      <c r="AG335"/>
    </row>
    <row r="336" spans="1:33" x14ac:dyDescent="0.2">
      <c r="A336" s="1" t="s">
        <v>159</v>
      </c>
      <c r="B336" s="5" t="s">
        <v>15</v>
      </c>
      <c r="C336" s="2"/>
      <c r="D336" s="3"/>
      <c r="E336" s="11" t="s">
        <v>46</v>
      </c>
      <c r="F336" s="2"/>
      <c r="G336" s="2">
        <v>0</v>
      </c>
      <c r="H336" s="11"/>
      <c r="I336" s="2"/>
      <c r="J336" s="2">
        <v>0</v>
      </c>
      <c r="K336" s="12" t="s">
        <v>30</v>
      </c>
      <c r="L336" s="2">
        <v>0.16666666999999999</v>
      </c>
      <c r="M336" s="3">
        <v>40.000000999999997</v>
      </c>
      <c r="N336" s="2">
        <v>0</v>
      </c>
      <c r="O336" s="2">
        <v>0</v>
      </c>
      <c r="P336" s="6">
        <v>3.3333000000000002E-2</v>
      </c>
      <c r="Q336" s="6">
        <v>6.25E-2</v>
      </c>
      <c r="R336" s="2">
        <v>3.4699999999999998E-4</v>
      </c>
      <c r="T336" s="12">
        <v>3</v>
      </c>
      <c r="U336" s="7"/>
      <c r="V336" s="7"/>
      <c r="W336" s="8"/>
      <c r="X336" s="9"/>
      <c r="Y336" s="9"/>
      <c r="Z336" s="9"/>
      <c r="AA336" s="10"/>
      <c r="AB336" s="11"/>
      <c r="AC336"/>
      <c r="AD336"/>
      <c r="AE336"/>
      <c r="AF336"/>
      <c r="AG336"/>
    </row>
    <row r="337" spans="1:33" x14ac:dyDescent="0.2">
      <c r="A337" s="1" t="s">
        <v>79</v>
      </c>
      <c r="B337" s="5" t="s">
        <v>52</v>
      </c>
      <c r="C337" s="2">
        <v>1.4189999999999999E-3</v>
      </c>
      <c r="D337" s="3">
        <v>0.34052399999999999</v>
      </c>
      <c r="E337" s="11" t="s">
        <v>180</v>
      </c>
      <c r="F337" s="2"/>
      <c r="G337" s="2">
        <v>0</v>
      </c>
      <c r="H337" s="11"/>
      <c r="I337" s="2">
        <v>0.83333332999999998</v>
      </c>
      <c r="J337" s="2">
        <v>3.3333000000000002E-2</v>
      </c>
      <c r="K337" s="12" t="s">
        <v>30</v>
      </c>
      <c r="M337" s="3"/>
      <c r="N337" s="2">
        <v>0</v>
      </c>
      <c r="O337" s="2">
        <v>0</v>
      </c>
      <c r="P337" s="6">
        <v>0</v>
      </c>
      <c r="Q337" s="6">
        <v>0</v>
      </c>
      <c r="R337" s="2">
        <v>1.1349999999999999E-3</v>
      </c>
      <c r="T337" s="12">
        <v>3</v>
      </c>
      <c r="U337" s="7"/>
      <c r="V337" s="7"/>
      <c r="W337" s="8"/>
      <c r="X337" s="9"/>
      <c r="Y337" s="9"/>
      <c r="Z337" s="9"/>
      <c r="AA337" s="10"/>
      <c r="AB337" s="11"/>
      <c r="AC337"/>
      <c r="AD337"/>
      <c r="AE337"/>
      <c r="AF337"/>
      <c r="AG337"/>
    </row>
    <row r="338" spans="1:33" x14ac:dyDescent="0.2">
      <c r="A338" s="1" t="s">
        <v>79</v>
      </c>
      <c r="B338" s="5" t="s">
        <v>52</v>
      </c>
      <c r="C338" s="2">
        <v>2.0969999999999999E-3</v>
      </c>
      <c r="D338" s="3">
        <v>0.50322500000000003</v>
      </c>
      <c r="E338" s="11" t="s">
        <v>180</v>
      </c>
      <c r="F338" s="2"/>
      <c r="G338" s="2">
        <v>0</v>
      </c>
      <c r="H338" s="11"/>
      <c r="I338" s="2">
        <v>0.83333332999999998</v>
      </c>
      <c r="J338" s="2">
        <v>3.3333000000000002E-2</v>
      </c>
      <c r="K338" s="12" t="s">
        <v>30</v>
      </c>
      <c r="M338" s="3"/>
      <c r="N338" s="2">
        <v>0</v>
      </c>
      <c r="O338" s="2">
        <v>0</v>
      </c>
      <c r="P338" s="6">
        <v>0</v>
      </c>
      <c r="Q338" s="6">
        <v>0</v>
      </c>
      <c r="R338" s="2">
        <v>1.6770000000000001E-3</v>
      </c>
      <c r="T338" s="12">
        <v>3</v>
      </c>
      <c r="U338" s="7"/>
      <c r="V338" s="7"/>
      <c r="W338" s="8"/>
      <c r="X338" s="9"/>
      <c r="Y338" s="9"/>
      <c r="Z338" s="9"/>
      <c r="AA338" s="10"/>
      <c r="AB338" s="11"/>
      <c r="AC338"/>
      <c r="AD338"/>
      <c r="AE338"/>
      <c r="AF338"/>
      <c r="AG338"/>
    </row>
    <row r="339" spans="1:33" x14ac:dyDescent="0.2">
      <c r="A339" s="1" t="s">
        <v>79</v>
      </c>
      <c r="B339" s="5" t="s">
        <v>52</v>
      </c>
      <c r="C339" s="2">
        <v>2.6957999999999999E-2</v>
      </c>
      <c r="D339" s="3">
        <v>6.46997</v>
      </c>
      <c r="E339" s="11" t="s">
        <v>180</v>
      </c>
      <c r="F339" s="2"/>
      <c r="G339" s="2">
        <v>0</v>
      </c>
      <c r="H339" s="11"/>
      <c r="I339" s="2">
        <v>0.83333332999999998</v>
      </c>
      <c r="J339" s="2">
        <v>3.3333000000000002E-2</v>
      </c>
      <c r="K339" s="12" t="s">
        <v>30</v>
      </c>
      <c r="M339" s="3"/>
      <c r="N339" s="2">
        <v>0</v>
      </c>
      <c r="O339" s="2">
        <v>0</v>
      </c>
      <c r="P339" s="6">
        <v>0</v>
      </c>
      <c r="Q339" s="6">
        <v>0</v>
      </c>
      <c r="R339" s="2">
        <v>2.1566999999999999E-2</v>
      </c>
      <c r="T339" s="12">
        <v>3</v>
      </c>
      <c r="U339" s="7"/>
      <c r="V339" s="7"/>
      <c r="W339" s="8"/>
      <c r="X339" s="9"/>
      <c r="Y339" s="9"/>
      <c r="Z339" s="9"/>
      <c r="AA339" s="10"/>
      <c r="AB339" s="11"/>
      <c r="AC339"/>
      <c r="AD339"/>
      <c r="AE339"/>
      <c r="AF339"/>
      <c r="AG339"/>
    </row>
    <row r="340" spans="1:33" x14ac:dyDescent="0.2">
      <c r="A340" s="1" t="s">
        <v>79</v>
      </c>
      <c r="B340" s="5" t="s">
        <v>52</v>
      </c>
      <c r="C340" s="2">
        <v>6.6400000000000001E-3</v>
      </c>
      <c r="D340" s="3">
        <v>1.593547</v>
      </c>
      <c r="E340" s="11" t="s">
        <v>163</v>
      </c>
      <c r="F340" s="2"/>
      <c r="G340" s="2">
        <v>0</v>
      </c>
      <c r="H340" s="11"/>
      <c r="I340" s="2">
        <v>0.85</v>
      </c>
      <c r="J340" s="2">
        <v>0.05</v>
      </c>
      <c r="K340" s="12" t="s">
        <v>32</v>
      </c>
      <c r="M340" s="3"/>
      <c r="N340" s="2">
        <v>0</v>
      </c>
      <c r="O340" s="2">
        <v>0</v>
      </c>
      <c r="P340" s="6">
        <v>0</v>
      </c>
      <c r="Q340" s="6">
        <v>0</v>
      </c>
      <c r="R340" s="2">
        <v>5.3119999999999999E-3</v>
      </c>
      <c r="S340" s="4" t="s">
        <v>181</v>
      </c>
      <c r="T340" s="12">
        <v>3</v>
      </c>
      <c r="U340" s="7"/>
      <c r="V340" s="7"/>
      <c r="W340" s="8"/>
      <c r="X340" s="9"/>
      <c r="Y340" s="9"/>
      <c r="Z340" s="9"/>
      <c r="AA340" s="10"/>
      <c r="AB340" s="11"/>
      <c r="AC340"/>
      <c r="AD340"/>
      <c r="AE340"/>
      <c r="AF340"/>
      <c r="AG340"/>
    </row>
    <row r="341" spans="1:33" x14ac:dyDescent="0.2">
      <c r="A341" s="1" t="s">
        <v>79</v>
      </c>
      <c r="B341" s="5" t="s">
        <v>52</v>
      </c>
      <c r="C341" s="2">
        <v>4.4929999999999996E-3</v>
      </c>
      <c r="D341" s="3">
        <v>1.078328</v>
      </c>
      <c r="E341" s="11" t="s">
        <v>163</v>
      </c>
      <c r="F341" s="2"/>
      <c r="G341" s="2">
        <v>0</v>
      </c>
      <c r="H341" s="11"/>
      <c r="I341" s="2">
        <v>0.85</v>
      </c>
      <c r="J341" s="2">
        <v>0.05</v>
      </c>
      <c r="K341" s="12" t="s">
        <v>32</v>
      </c>
      <c r="M341" s="3"/>
      <c r="N341" s="2">
        <v>0</v>
      </c>
      <c r="O341" s="2">
        <v>0</v>
      </c>
      <c r="P341" s="6">
        <v>0</v>
      </c>
      <c r="Q341" s="6">
        <v>0</v>
      </c>
      <c r="R341" s="2">
        <v>3.594E-3</v>
      </c>
      <c r="S341" s="4" t="s">
        <v>181</v>
      </c>
      <c r="T341" s="12">
        <v>3</v>
      </c>
      <c r="U341" s="7"/>
      <c r="V341" s="7"/>
      <c r="W341" s="8"/>
      <c r="X341" s="9"/>
      <c r="Y341" s="9"/>
      <c r="Z341" s="9"/>
      <c r="AA341" s="10"/>
      <c r="AB341" s="11"/>
      <c r="AC341"/>
      <c r="AD341"/>
      <c r="AE341"/>
      <c r="AF341"/>
      <c r="AG341"/>
    </row>
    <row r="342" spans="1:33" x14ac:dyDescent="0.2">
      <c r="A342" s="1" t="s">
        <v>79</v>
      </c>
      <c r="B342" s="5" t="s">
        <v>52</v>
      </c>
      <c r="C342" s="2">
        <v>3.9838999999999999E-2</v>
      </c>
      <c r="D342" s="3">
        <v>9.5612770000000005</v>
      </c>
      <c r="E342" s="11" t="s">
        <v>180</v>
      </c>
      <c r="F342" s="2"/>
      <c r="G342" s="2">
        <v>0</v>
      </c>
      <c r="H342" s="11"/>
      <c r="I342" s="2">
        <v>0.83333332999999998</v>
      </c>
      <c r="J342" s="2">
        <v>3.3333000000000002E-2</v>
      </c>
      <c r="K342" s="12" t="s">
        <v>30</v>
      </c>
      <c r="M342" s="3"/>
      <c r="N342" s="2">
        <v>0</v>
      </c>
      <c r="O342" s="2">
        <v>0</v>
      </c>
      <c r="P342" s="6">
        <v>0</v>
      </c>
      <c r="Q342" s="6">
        <v>0</v>
      </c>
      <c r="R342" s="2">
        <v>3.1870999999999997E-2</v>
      </c>
      <c r="T342" s="12">
        <v>3</v>
      </c>
      <c r="U342" s="7"/>
      <c r="V342" s="7"/>
      <c r="W342" s="8"/>
      <c r="X342" s="9"/>
      <c r="Y342" s="9"/>
      <c r="Z342" s="9"/>
      <c r="AA342" s="10"/>
      <c r="AB342" s="11"/>
      <c r="AC342"/>
      <c r="AD342"/>
      <c r="AE342"/>
      <c r="AF342"/>
      <c r="AG342"/>
    </row>
    <row r="343" spans="1:33" x14ac:dyDescent="0.2">
      <c r="A343" s="1" t="s">
        <v>79</v>
      </c>
      <c r="B343" s="5" t="s">
        <v>52</v>
      </c>
      <c r="C343" s="2">
        <v>4.4929999999999996E-3</v>
      </c>
      <c r="D343" s="3">
        <v>1.07833</v>
      </c>
      <c r="E343" s="11" t="s">
        <v>164</v>
      </c>
      <c r="F343" s="2"/>
      <c r="G343" s="2">
        <v>0</v>
      </c>
      <c r="H343" s="11"/>
      <c r="I343" s="2">
        <v>0.85</v>
      </c>
      <c r="J343" s="2">
        <v>0.05</v>
      </c>
      <c r="K343" s="12" t="s">
        <v>22</v>
      </c>
      <c r="M343" s="3"/>
      <c r="N343" s="2">
        <v>0</v>
      </c>
      <c r="O343" s="2">
        <v>0</v>
      </c>
      <c r="P343" s="6">
        <v>0</v>
      </c>
      <c r="Q343" s="6">
        <v>0</v>
      </c>
      <c r="R343" s="2">
        <v>3.594E-3</v>
      </c>
      <c r="S343" s="4" t="s">
        <v>182</v>
      </c>
      <c r="T343" s="12">
        <v>3</v>
      </c>
      <c r="U343" s="7"/>
      <c r="V343" s="7"/>
      <c r="W343" s="8"/>
      <c r="X343" s="9"/>
      <c r="Y343" s="9"/>
      <c r="Z343" s="9"/>
      <c r="AA343" s="10"/>
      <c r="AB343" s="11"/>
      <c r="AC343"/>
      <c r="AD343"/>
      <c r="AE343"/>
      <c r="AF343"/>
      <c r="AG343"/>
    </row>
    <row r="344" spans="1:33" x14ac:dyDescent="0.2">
      <c r="A344" s="1" t="s">
        <v>79</v>
      </c>
      <c r="B344" s="5" t="s">
        <v>52</v>
      </c>
      <c r="C344" s="2">
        <v>6.6400000000000001E-3</v>
      </c>
      <c r="D344" s="3">
        <v>1.593547</v>
      </c>
      <c r="E344" s="11" t="s">
        <v>164</v>
      </c>
      <c r="F344" s="2"/>
      <c r="G344" s="2">
        <v>0</v>
      </c>
      <c r="H344" s="11"/>
      <c r="I344" s="2">
        <v>0.85</v>
      </c>
      <c r="J344" s="2">
        <v>0.05</v>
      </c>
      <c r="K344" s="12" t="s">
        <v>22</v>
      </c>
      <c r="M344" s="3"/>
      <c r="N344" s="2">
        <v>0</v>
      </c>
      <c r="O344" s="2">
        <v>0</v>
      </c>
      <c r="P344" s="6">
        <v>0</v>
      </c>
      <c r="Q344" s="6">
        <v>0</v>
      </c>
      <c r="R344" s="2">
        <v>5.3119999999999999E-3</v>
      </c>
      <c r="S344" s="4" t="s">
        <v>182</v>
      </c>
      <c r="T344" s="12">
        <v>3</v>
      </c>
      <c r="U344" s="7"/>
      <c r="V344" s="7"/>
      <c r="W344" s="8"/>
      <c r="X344" s="9"/>
      <c r="Y344" s="9"/>
      <c r="Z344" s="9"/>
      <c r="AA344" s="10"/>
      <c r="AB344" s="11"/>
      <c r="AC344"/>
      <c r="AD344"/>
      <c r="AE344"/>
      <c r="AF344"/>
      <c r="AG344"/>
    </row>
    <row r="345" spans="1:33" x14ac:dyDescent="0.2">
      <c r="A345" s="1" t="s">
        <v>82</v>
      </c>
      <c r="B345" s="5" t="s">
        <v>52</v>
      </c>
      <c r="C345" s="2">
        <v>6.6796999999999995E-2</v>
      </c>
      <c r="D345" s="3">
        <v>16.031251000000001</v>
      </c>
      <c r="E345" s="11" t="s">
        <v>163</v>
      </c>
      <c r="F345" s="2"/>
      <c r="G345" s="2">
        <v>0</v>
      </c>
      <c r="H345" s="11"/>
      <c r="I345" s="2">
        <v>0.85</v>
      </c>
      <c r="J345" s="2">
        <v>0.05</v>
      </c>
      <c r="K345" s="12" t="s">
        <v>32</v>
      </c>
      <c r="M345" s="3"/>
      <c r="N345" s="2">
        <v>0</v>
      </c>
      <c r="O345" s="2">
        <v>0</v>
      </c>
      <c r="P345" s="6">
        <v>0</v>
      </c>
      <c r="Q345" s="6">
        <v>0</v>
      </c>
      <c r="R345" s="2">
        <v>5.3437999999999999E-2</v>
      </c>
      <c r="S345" s="4" t="s">
        <v>181</v>
      </c>
      <c r="T345" s="12">
        <v>3</v>
      </c>
      <c r="U345" s="7"/>
      <c r="V345" s="7"/>
      <c r="W345" s="8"/>
      <c r="X345" s="9"/>
      <c r="Y345" s="9"/>
      <c r="Z345" s="9"/>
      <c r="AA345" s="10"/>
      <c r="AB345" s="11"/>
      <c r="AC345"/>
      <c r="AD345"/>
      <c r="AE345"/>
      <c r="AF345"/>
      <c r="AG345"/>
    </row>
    <row r="346" spans="1:33" x14ac:dyDescent="0.2">
      <c r="A346" s="1" t="s">
        <v>82</v>
      </c>
      <c r="B346" s="5" t="s">
        <v>52</v>
      </c>
      <c r="C346" s="2">
        <v>6.6796999999999995E-2</v>
      </c>
      <c r="D346" s="3">
        <v>16.031251000000001</v>
      </c>
      <c r="E346" s="11" t="s">
        <v>180</v>
      </c>
      <c r="F346" s="2"/>
      <c r="G346" s="2">
        <v>0</v>
      </c>
      <c r="H346" s="11"/>
      <c r="I346" s="2">
        <v>0.83333332999999998</v>
      </c>
      <c r="J346" s="2">
        <v>3.3333000000000002E-2</v>
      </c>
      <c r="K346" s="12" t="s">
        <v>30</v>
      </c>
      <c r="M346" s="3"/>
      <c r="N346" s="2">
        <v>0</v>
      </c>
      <c r="O346" s="2">
        <v>0</v>
      </c>
      <c r="P346" s="6">
        <v>0</v>
      </c>
      <c r="Q346" s="6">
        <v>0</v>
      </c>
      <c r="R346" s="2">
        <v>5.3437999999999999E-2</v>
      </c>
      <c r="T346" s="12">
        <v>3</v>
      </c>
      <c r="U346" s="7"/>
      <c r="V346" s="7"/>
      <c r="W346" s="8"/>
      <c r="X346" s="9"/>
      <c r="Y346" s="9"/>
      <c r="Z346" s="9"/>
      <c r="AA346" s="10"/>
      <c r="AB346" s="11"/>
      <c r="AC346"/>
      <c r="AD346"/>
      <c r="AE346"/>
      <c r="AF346"/>
      <c r="AG346"/>
    </row>
    <row r="347" spans="1:33" x14ac:dyDescent="0.2">
      <c r="A347" s="1" t="s">
        <v>82</v>
      </c>
      <c r="B347" s="5" t="s">
        <v>52</v>
      </c>
      <c r="C347" s="2">
        <v>2.1094000000000002E-2</v>
      </c>
      <c r="D347" s="3">
        <v>5.0625</v>
      </c>
      <c r="E347" s="11" t="s">
        <v>180</v>
      </c>
      <c r="F347" s="2"/>
      <c r="G347" s="2">
        <v>0</v>
      </c>
      <c r="H347" s="11"/>
      <c r="I347" s="2">
        <v>0.83333332999999998</v>
      </c>
      <c r="J347" s="2">
        <v>3.3333000000000002E-2</v>
      </c>
      <c r="K347" s="12" t="s">
        <v>30</v>
      </c>
      <c r="M347" s="3"/>
      <c r="N347" s="2">
        <v>0</v>
      </c>
      <c r="O347" s="2">
        <v>0</v>
      </c>
      <c r="P347" s="6">
        <v>0</v>
      </c>
      <c r="Q347" s="6">
        <v>0</v>
      </c>
      <c r="R347" s="2">
        <v>1.6875000000000001E-2</v>
      </c>
      <c r="T347" s="12">
        <v>3</v>
      </c>
      <c r="U347" s="7"/>
      <c r="V347" s="7"/>
      <c r="W347" s="8"/>
      <c r="X347" s="9"/>
      <c r="Y347" s="9"/>
      <c r="Z347" s="9"/>
      <c r="AA347" s="10"/>
      <c r="AB347" s="11"/>
      <c r="AC347"/>
      <c r="AD347"/>
      <c r="AE347"/>
      <c r="AF347"/>
      <c r="AG347"/>
    </row>
    <row r="348" spans="1:33" x14ac:dyDescent="0.2">
      <c r="A348" s="1" t="s">
        <v>82</v>
      </c>
      <c r="B348" s="5" t="s">
        <v>52</v>
      </c>
      <c r="C348" s="2">
        <v>1.1133000000000001E-2</v>
      </c>
      <c r="D348" s="3">
        <v>2.6718739999999999</v>
      </c>
      <c r="E348" s="11" t="s">
        <v>163</v>
      </c>
      <c r="F348" s="2"/>
      <c r="G348" s="2">
        <v>0</v>
      </c>
      <c r="H348" s="11"/>
      <c r="I348" s="2">
        <v>0.85</v>
      </c>
      <c r="J348" s="2">
        <v>0.05</v>
      </c>
      <c r="K348" s="12" t="s">
        <v>32</v>
      </c>
      <c r="M348" s="3"/>
      <c r="N348" s="2">
        <v>0</v>
      </c>
      <c r="O348" s="2">
        <v>0</v>
      </c>
      <c r="P348" s="6">
        <v>0</v>
      </c>
      <c r="Q348" s="6">
        <v>0</v>
      </c>
      <c r="R348" s="2">
        <v>8.9060000000000007E-3</v>
      </c>
      <c r="S348" s="4" t="s">
        <v>181</v>
      </c>
      <c r="T348" s="12">
        <v>3</v>
      </c>
      <c r="U348" s="7"/>
      <c r="V348" s="7"/>
      <c r="W348" s="8"/>
      <c r="X348" s="9"/>
      <c r="Y348" s="9"/>
      <c r="Z348" s="9"/>
      <c r="AA348" s="10"/>
      <c r="AB348" s="11"/>
      <c r="AC348"/>
      <c r="AD348"/>
      <c r="AE348"/>
      <c r="AF348"/>
      <c r="AG348"/>
    </row>
    <row r="349" spans="1:33" x14ac:dyDescent="0.2">
      <c r="A349" s="1" t="s">
        <v>82</v>
      </c>
      <c r="B349" s="5" t="s">
        <v>52</v>
      </c>
      <c r="C349" s="2">
        <v>4.6880000000000003E-3</v>
      </c>
      <c r="D349" s="3">
        <v>1.125</v>
      </c>
      <c r="E349" s="11" t="s">
        <v>164</v>
      </c>
      <c r="F349" s="2"/>
      <c r="G349" s="2">
        <v>0</v>
      </c>
      <c r="H349" s="11"/>
      <c r="I349" s="2">
        <v>0.85</v>
      </c>
      <c r="J349" s="2">
        <v>0.05</v>
      </c>
      <c r="K349" s="12" t="s">
        <v>22</v>
      </c>
      <c r="M349" s="3"/>
      <c r="N349" s="2">
        <v>0</v>
      </c>
      <c r="O349" s="2">
        <v>0</v>
      </c>
      <c r="P349" s="6">
        <v>0</v>
      </c>
      <c r="Q349" s="6">
        <v>0</v>
      </c>
      <c r="R349" s="2">
        <v>3.7499999999999999E-3</v>
      </c>
      <c r="S349" s="4" t="s">
        <v>182</v>
      </c>
      <c r="T349" s="12">
        <v>3</v>
      </c>
      <c r="U349" s="7"/>
      <c r="V349" s="7"/>
      <c r="W349" s="8"/>
      <c r="X349" s="9"/>
      <c r="Y349" s="9"/>
      <c r="Z349" s="9"/>
      <c r="AA349" s="10"/>
      <c r="AB349" s="11"/>
      <c r="AC349"/>
      <c r="AD349"/>
      <c r="AE349"/>
      <c r="AF349"/>
      <c r="AG349"/>
    </row>
    <row r="350" spans="1:33" x14ac:dyDescent="0.2">
      <c r="A350" s="1" t="s">
        <v>82</v>
      </c>
      <c r="B350" s="5" t="s">
        <v>52</v>
      </c>
      <c r="C350" s="2">
        <v>0.1875</v>
      </c>
      <c r="D350" s="3">
        <v>45</v>
      </c>
      <c r="E350" s="11" t="s">
        <v>180</v>
      </c>
      <c r="F350" s="2"/>
      <c r="G350" s="2">
        <v>0</v>
      </c>
      <c r="H350" s="11"/>
      <c r="I350" s="2">
        <v>0.83333332999999998</v>
      </c>
      <c r="J350" s="2">
        <v>3.3333000000000002E-2</v>
      </c>
      <c r="K350" s="12" t="s">
        <v>30</v>
      </c>
      <c r="M350" s="3"/>
      <c r="N350" s="2">
        <v>0</v>
      </c>
      <c r="O350" s="2">
        <v>0</v>
      </c>
      <c r="P350" s="6">
        <v>0</v>
      </c>
      <c r="Q350" s="6">
        <v>0</v>
      </c>
      <c r="R350" s="2">
        <v>0.15</v>
      </c>
      <c r="T350" s="12">
        <v>3</v>
      </c>
      <c r="U350" s="7"/>
      <c r="V350" s="7"/>
      <c r="W350" s="8"/>
      <c r="X350" s="9"/>
      <c r="Y350" s="9"/>
      <c r="Z350" s="9"/>
      <c r="AA350" s="10"/>
      <c r="AB350" s="11"/>
      <c r="AC350"/>
      <c r="AD350"/>
      <c r="AE350"/>
      <c r="AF350"/>
      <c r="AG350"/>
    </row>
    <row r="351" spans="1:33" x14ac:dyDescent="0.2">
      <c r="A351" s="1" t="s">
        <v>82</v>
      </c>
      <c r="B351" s="5" t="s">
        <v>52</v>
      </c>
      <c r="C351" s="2">
        <v>4.6880000000000003E-3</v>
      </c>
      <c r="D351" s="3">
        <v>1.125</v>
      </c>
      <c r="E351" s="11" t="s">
        <v>163</v>
      </c>
      <c r="F351" s="2"/>
      <c r="G351" s="2">
        <v>0</v>
      </c>
      <c r="H351" s="11"/>
      <c r="I351" s="2">
        <v>0.85</v>
      </c>
      <c r="J351" s="2">
        <v>0.05</v>
      </c>
      <c r="K351" s="12" t="s">
        <v>32</v>
      </c>
      <c r="M351" s="3"/>
      <c r="N351" s="2">
        <v>0</v>
      </c>
      <c r="O351" s="2">
        <v>0</v>
      </c>
      <c r="P351" s="6">
        <v>0</v>
      </c>
      <c r="Q351" s="6">
        <v>0</v>
      </c>
      <c r="R351" s="2">
        <v>3.7499999999999999E-3</v>
      </c>
      <c r="S351" s="4" t="s">
        <v>181</v>
      </c>
      <c r="T351" s="12">
        <v>3</v>
      </c>
      <c r="U351" s="7"/>
      <c r="V351" s="7"/>
      <c r="W351" s="8"/>
      <c r="X351" s="9"/>
      <c r="Y351" s="9"/>
      <c r="Z351" s="9"/>
      <c r="AA351" s="10"/>
      <c r="AB351" s="11"/>
      <c r="AC351"/>
      <c r="AD351"/>
      <c r="AE351"/>
      <c r="AF351"/>
      <c r="AG351"/>
    </row>
    <row r="352" spans="1:33" x14ac:dyDescent="0.2">
      <c r="A352" s="1" t="s">
        <v>82</v>
      </c>
      <c r="B352" s="5" t="s">
        <v>52</v>
      </c>
      <c r="C352" s="2">
        <v>6.6796999999999995E-2</v>
      </c>
      <c r="D352" s="3">
        <v>16.031251000000001</v>
      </c>
      <c r="E352" s="11" t="s">
        <v>164</v>
      </c>
      <c r="F352" s="2"/>
      <c r="G352" s="2">
        <v>0</v>
      </c>
      <c r="H352" s="11"/>
      <c r="I352" s="2">
        <v>0.85</v>
      </c>
      <c r="J352" s="2">
        <v>0.05</v>
      </c>
      <c r="K352" s="12" t="s">
        <v>22</v>
      </c>
      <c r="M352" s="3"/>
      <c r="N352" s="2">
        <v>0</v>
      </c>
      <c r="O352" s="2">
        <v>0</v>
      </c>
      <c r="P352" s="6">
        <v>0</v>
      </c>
      <c r="Q352" s="6">
        <v>0</v>
      </c>
      <c r="R352" s="2">
        <v>5.3437999999999999E-2</v>
      </c>
      <c r="S352" s="4" t="s">
        <v>182</v>
      </c>
      <c r="T352" s="12">
        <v>3</v>
      </c>
      <c r="U352" s="7"/>
      <c r="V352" s="7"/>
      <c r="W352" s="8"/>
      <c r="X352" s="9"/>
      <c r="Y352" s="9"/>
      <c r="Z352" s="9"/>
      <c r="AA352" s="10"/>
      <c r="AB352" s="11"/>
      <c r="AC352"/>
      <c r="AD352"/>
      <c r="AE352"/>
      <c r="AF352"/>
      <c r="AG352"/>
    </row>
    <row r="353" spans="1:33" x14ac:dyDescent="0.2">
      <c r="A353" s="1" t="s">
        <v>82</v>
      </c>
      <c r="B353" s="5" t="s">
        <v>52</v>
      </c>
      <c r="C353" s="2">
        <v>1.1133000000000001E-2</v>
      </c>
      <c r="D353" s="3">
        <v>2.6718739999999999</v>
      </c>
      <c r="E353" s="11" t="s">
        <v>164</v>
      </c>
      <c r="F353" s="2"/>
      <c r="G353" s="2">
        <v>0</v>
      </c>
      <c r="H353" s="11"/>
      <c r="I353" s="2">
        <v>0.85</v>
      </c>
      <c r="J353" s="2">
        <v>0.05</v>
      </c>
      <c r="K353" s="12" t="s">
        <v>22</v>
      </c>
      <c r="M353" s="3"/>
      <c r="N353" s="2">
        <v>0</v>
      </c>
      <c r="O353" s="2">
        <v>0</v>
      </c>
      <c r="P353" s="6">
        <v>0</v>
      </c>
      <c r="Q353" s="6">
        <v>0</v>
      </c>
      <c r="R353" s="2">
        <v>8.9060000000000007E-3</v>
      </c>
      <c r="S353" s="4" t="s">
        <v>182</v>
      </c>
      <c r="T353" s="12">
        <v>3</v>
      </c>
      <c r="U353" s="7"/>
      <c r="V353" s="7"/>
      <c r="W353" s="8"/>
      <c r="X353" s="9"/>
      <c r="Y353" s="9"/>
      <c r="Z353" s="9"/>
      <c r="AA353" s="10"/>
      <c r="AB353" s="11"/>
      <c r="AC353"/>
      <c r="AD353"/>
      <c r="AE353"/>
      <c r="AF353"/>
      <c r="AG353"/>
    </row>
    <row r="354" spans="1:33" x14ac:dyDescent="0.2">
      <c r="A354" s="1" t="s">
        <v>82</v>
      </c>
      <c r="B354" s="5" t="s">
        <v>52</v>
      </c>
      <c r="C354" s="2">
        <v>3.125E-2</v>
      </c>
      <c r="D354" s="3">
        <v>7.5</v>
      </c>
      <c r="E354" s="11" t="s">
        <v>164</v>
      </c>
      <c r="F354" s="2"/>
      <c r="G354" s="2">
        <v>0</v>
      </c>
      <c r="H354" s="11"/>
      <c r="I354" s="2">
        <v>0.85</v>
      </c>
      <c r="J354" s="2">
        <v>0.05</v>
      </c>
      <c r="K354" s="12" t="s">
        <v>22</v>
      </c>
      <c r="M354" s="3"/>
      <c r="N354" s="2">
        <v>0</v>
      </c>
      <c r="O354" s="2">
        <v>0</v>
      </c>
      <c r="P354" s="6">
        <v>0</v>
      </c>
      <c r="Q354" s="6">
        <v>0</v>
      </c>
      <c r="R354" s="2">
        <v>2.5000000000000001E-2</v>
      </c>
      <c r="S354" s="4" t="s">
        <v>182</v>
      </c>
      <c r="T354" s="12">
        <v>3</v>
      </c>
      <c r="U354" s="7"/>
      <c r="V354" s="7"/>
      <c r="W354" s="8"/>
      <c r="X354" s="9"/>
      <c r="Y354" s="9"/>
      <c r="Z354" s="9"/>
      <c r="AA354" s="10"/>
      <c r="AB354" s="11"/>
      <c r="AC354"/>
      <c r="AD354"/>
      <c r="AE354"/>
      <c r="AF354"/>
      <c r="AG354"/>
    </row>
    <row r="355" spans="1:33" x14ac:dyDescent="0.2">
      <c r="A355" s="1" t="s">
        <v>82</v>
      </c>
      <c r="B355" s="5" t="s">
        <v>52</v>
      </c>
      <c r="C355" s="2">
        <v>0.400781</v>
      </c>
      <c r="D355" s="3">
        <v>96.1875</v>
      </c>
      <c r="E355" s="11" t="s">
        <v>180</v>
      </c>
      <c r="F355" s="2"/>
      <c r="G355" s="2">
        <v>0</v>
      </c>
      <c r="H355" s="11"/>
      <c r="I355" s="2">
        <v>0.83333332999999998</v>
      </c>
      <c r="J355" s="2">
        <v>3.3333000000000002E-2</v>
      </c>
      <c r="K355" s="12" t="s">
        <v>30</v>
      </c>
      <c r="M355" s="3"/>
      <c r="N355" s="2">
        <v>0</v>
      </c>
      <c r="O355" s="2">
        <v>0</v>
      </c>
      <c r="P355" s="6">
        <v>0</v>
      </c>
      <c r="Q355" s="6">
        <v>0</v>
      </c>
      <c r="R355" s="2">
        <v>0.32062499999999999</v>
      </c>
      <c r="T355" s="12">
        <v>3</v>
      </c>
      <c r="U355" s="7"/>
      <c r="V355" s="7"/>
      <c r="W355" s="8"/>
      <c r="X355" s="9"/>
      <c r="Y355" s="9"/>
      <c r="Z355" s="9"/>
      <c r="AA355" s="10"/>
      <c r="AB355" s="11"/>
      <c r="AC355"/>
      <c r="AD355"/>
      <c r="AE355"/>
      <c r="AF355"/>
      <c r="AG355"/>
    </row>
    <row r="356" spans="1:33" x14ac:dyDescent="0.2">
      <c r="A356" s="1" t="s">
        <v>82</v>
      </c>
      <c r="B356" s="5" t="s">
        <v>52</v>
      </c>
      <c r="C356" s="2">
        <v>3.516E-3</v>
      </c>
      <c r="D356" s="3">
        <v>0.84375100000000003</v>
      </c>
      <c r="E356" s="11" t="s">
        <v>180</v>
      </c>
      <c r="F356" s="2"/>
      <c r="G356" s="2">
        <v>0</v>
      </c>
      <c r="H356" s="11"/>
      <c r="I356" s="2">
        <v>0.83333332999999998</v>
      </c>
      <c r="J356" s="2">
        <v>3.3333000000000002E-2</v>
      </c>
      <c r="K356" s="12" t="s">
        <v>30</v>
      </c>
      <c r="M356" s="3"/>
      <c r="N356" s="2">
        <v>0</v>
      </c>
      <c r="O356" s="2">
        <v>0</v>
      </c>
      <c r="P356" s="6">
        <v>0</v>
      </c>
      <c r="Q356" s="6">
        <v>0</v>
      </c>
      <c r="R356" s="2">
        <v>2.813E-3</v>
      </c>
      <c r="T356" s="12">
        <v>3</v>
      </c>
      <c r="U356" s="7"/>
      <c r="V356" s="7"/>
      <c r="W356" s="8"/>
      <c r="X356" s="9"/>
      <c r="Y356" s="9"/>
      <c r="Z356" s="9"/>
      <c r="AA356" s="10"/>
      <c r="AB356" s="11"/>
      <c r="AC356"/>
      <c r="AD356"/>
      <c r="AE356"/>
      <c r="AF356"/>
      <c r="AG356"/>
    </row>
    <row r="357" spans="1:33" x14ac:dyDescent="0.2">
      <c r="A357" s="1" t="s">
        <v>82</v>
      </c>
      <c r="B357" s="5" t="s">
        <v>52</v>
      </c>
      <c r="C357" s="2">
        <v>3.125E-2</v>
      </c>
      <c r="D357" s="3">
        <v>7.5</v>
      </c>
      <c r="E357" s="11" t="s">
        <v>163</v>
      </c>
      <c r="F357" s="2"/>
      <c r="G357" s="2">
        <v>0</v>
      </c>
      <c r="H357" s="11"/>
      <c r="I357" s="2">
        <v>0.85</v>
      </c>
      <c r="J357" s="2">
        <v>0.05</v>
      </c>
      <c r="K357" s="12" t="s">
        <v>32</v>
      </c>
      <c r="M357" s="3"/>
      <c r="N357" s="2">
        <v>0</v>
      </c>
      <c r="O357" s="2">
        <v>0</v>
      </c>
      <c r="P357" s="6">
        <v>0</v>
      </c>
      <c r="Q357" s="6">
        <v>0</v>
      </c>
      <c r="R357" s="2">
        <v>2.5000000000000001E-2</v>
      </c>
      <c r="S357" s="4" t="s">
        <v>181</v>
      </c>
      <c r="T357" s="12">
        <v>3</v>
      </c>
      <c r="U357" s="7"/>
      <c r="V357" s="7"/>
      <c r="W357" s="8"/>
      <c r="X357" s="9"/>
      <c r="Y357" s="9"/>
      <c r="Z357" s="9"/>
      <c r="AA357" s="10"/>
      <c r="AB357" s="11"/>
      <c r="AC357"/>
      <c r="AD357"/>
      <c r="AE357"/>
      <c r="AF357"/>
      <c r="AG357"/>
    </row>
    <row r="358" spans="1:33" ht="38.25" x14ac:dyDescent="0.2">
      <c r="A358" s="1" t="s">
        <v>225</v>
      </c>
      <c r="B358" s="5" t="s">
        <v>21</v>
      </c>
      <c r="C358" s="2">
        <v>1</v>
      </c>
      <c r="D358" s="3">
        <v>80</v>
      </c>
      <c r="E358" s="11" t="s">
        <v>165</v>
      </c>
      <c r="F358" s="2">
        <v>0.16666666999999999</v>
      </c>
      <c r="G358" s="2">
        <v>0</v>
      </c>
      <c r="H358" s="11"/>
      <c r="I358" s="2"/>
      <c r="J358" s="2">
        <v>0</v>
      </c>
      <c r="K358" s="12"/>
      <c r="M358" s="3"/>
      <c r="N358" s="2">
        <v>0</v>
      </c>
      <c r="O358" s="2">
        <v>0</v>
      </c>
      <c r="P358" s="6">
        <v>0</v>
      </c>
      <c r="Q358" s="6">
        <v>0</v>
      </c>
      <c r="R358" s="2">
        <v>0.16666666999999999</v>
      </c>
      <c r="T358" s="12">
        <v>4</v>
      </c>
      <c r="U358" s="7"/>
      <c r="V358" s="7"/>
      <c r="W358" s="8"/>
      <c r="X358" s="9"/>
      <c r="Y358" s="9"/>
      <c r="Z358" s="9"/>
      <c r="AA358" s="10"/>
      <c r="AB358" s="11"/>
      <c r="AC358"/>
      <c r="AD358"/>
      <c r="AE358"/>
      <c r="AF358"/>
      <c r="AG358"/>
    </row>
    <row r="359" spans="1:33" x14ac:dyDescent="0.2">
      <c r="A359" s="1" t="s">
        <v>119</v>
      </c>
      <c r="B359" s="5" t="s">
        <v>13</v>
      </c>
      <c r="C359" s="2"/>
      <c r="D359" s="3"/>
      <c r="E359" s="11"/>
      <c r="F359" s="2"/>
      <c r="G359" s="2">
        <v>0</v>
      </c>
      <c r="H359" s="11"/>
      <c r="I359" s="2"/>
      <c r="J359" s="2">
        <v>0</v>
      </c>
      <c r="K359" s="12"/>
      <c r="M359" s="3">
        <v>0</v>
      </c>
      <c r="N359" s="2">
        <v>0</v>
      </c>
      <c r="O359" s="2">
        <v>0</v>
      </c>
      <c r="P359" s="6">
        <v>0</v>
      </c>
      <c r="Q359" s="6">
        <v>0</v>
      </c>
      <c r="R359" s="2">
        <v>0</v>
      </c>
      <c r="T359" s="12">
        <v>4</v>
      </c>
      <c r="U359" s="7"/>
      <c r="V359" s="7"/>
      <c r="W359" s="8"/>
      <c r="X359" s="9"/>
      <c r="Y359" s="9"/>
      <c r="Z359" s="9"/>
      <c r="AA359" s="10"/>
      <c r="AB359" s="11"/>
      <c r="AC359"/>
      <c r="AD359"/>
      <c r="AE359"/>
      <c r="AF359"/>
      <c r="AG359"/>
    </row>
    <row r="360" spans="1:33" x14ac:dyDescent="0.2">
      <c r="A360" s="1" t="s">
        <v>29</v>
      </c>
      <c r="B360" s="5" t="s">
        <v>15</v>
      </c>
      <c r="C360" s="2"/>
      <c r="D360" s="3"/>
      <c r="E360" s="11" t="s">
        <v>165</v>
      </c>
      <c r="F360" s="2"/>
      <c r="G360" s="2">
        <v>0</v>
      </c>
      <c r="H360" s="11"/>
      <c r="I360" s="2"/>
      <c r="J360" s="2">
        <v>0</v>
      </c>
      <c r="K360" s="12" t="s">
        <v>30</v>
      </c>
      <c r="L360" s="2">
        <v>1</v>
      </c>
      <c r="M360" s="3">
        <v>80</v>
      </c>
      <c r="N360" s="2">
        <v>0</v>
      </c>
      <c r="O360" s="2">
        <v>0</v>
      </c>
      <c r="P360" s="6">
        <v>3.3333000000000002E-2</v>
      </c>
      <c r="Q360" s="6">
        <v>6.25E-2</v>
      </c>
      <c r="R360" s="2">
        <v>2.0830000000000002E-3</v>
      </c>
      <c r="T360" s="12">
        <v>4</v>
      </c>
      <c r="U360" s="7"/>
      <c r="V360" s="7"/>
      <c r="W360" s="8"/>
      <c r="X360" s="9"/>
      <c r="Y360" s="9"/>
      <c r="Z360" s="9"/>
      <c r="AA360" s="10"/>
      <c r="AB360" s="11"/>
      <c r="AC360"/>
      <c r="AD360"/>
      <c r="AE360"/>
      <c r="AF360"/>
      <c r="AG360"/>
    </row>
    <row r="361" spans="1:33" x14ac:dyDescent="0.2">
      <c r="A361" s="1" t="s">
        <v>36</v>
      </c>
      <c r="B361" s="5" t="s">
        <v>15</v>
      </c>
      <c r="C361" s="2"/>
      <c r="D361" s="3"/>
      <c r="E361" s="11" t="s">
        <v>165</v>
      </c>
      <c r="F361" s="2"/>
      <c r="G361" s="2">
        <v>0</v>
      </c>
      <c r="H361" s="11"/>
      <c r="I361" s="2"/>
      <c r="J361" s="2">
        <v>0</v>
      </c>
      <c r="K361" s="12" t="s">
        <v>30</v>
      </c>
      <c r="L361" s="2">
        <v>1</v>
      </c>
      <c r="M361" s="3">
        <v>80</v>
      </c>
      <c r="N361" s="2">
        <v>0</v>
      </c>
      <c r="O361" s="2">
        <v>0</v>
      </c>
      <c r="P361" s="6">
        <v>3.3333000000000002E-2</v>
      </c>
      <c r="Q361" s="6">
        <v>2.7799999999999998E-2</v>
      </c>
      <c r="R361" s="2">
        <v>9.2699999999999998E-4</v>
      </c>
      <c r="T361" s="12">
        <v>4</v>
      </c>
      <c r="U361" s="7"/>
      <c r="V361" s="7"/>
      <c r="W361" s="8"/>
      <c r="X361" s="9"/>
      <c r="Y361" s="9"/>
      <c r="Z361" s="9"/>
      <c r="AA361" s="10"/>
      <c r="AB361" s="11"/>
      <c r="AC361"/>
      <c r="AD361"/>
      <c r="AE361"/>
      <c r="AF361"/>
      <c r="AG361"/>
    </row>
    <row r="362" spans="1:33" x14ac:dyDescent="0.2">
      <c r="A362" s="1" t="s">
        <v>59</v>
      </c>
      <c r="B362" s="5" t="s">
        <v>15</v>
      </c>
      <c r="C362" s="2"/>
      <c r="D362" s="3"/>
      <c r="E362" s="11" t="s">
        <v>165</v>
      </c>
      <c r="F362" s="2"/>
      <c r="G362" s="2">
        <v>0</v>
      </c>
      <c r="H362" s="11"/>
      <c r="I362" s="2"/>
      <c r="J362" s="2">
        <v>0</v>
      </c>
      <c r="K362" s="12" t="s">
        <v>30</v>
      </c>
      <c r="L362" s="2">
        <v>1</v>
      </c>
      <c r="M362" s="3">
        <v>80</v>
      </c>
      <c r="N362" s="2">
        <v>0</v>
      </c>
      <c r="O362" s="2">
        <v>0</v>
      </c>
      <c r="P362" s="6">
        <v>3.3333000000000002E-2</v>
      </c>
      <c r="Q362" s="6">
        <v>3.125E-2</v>
      </c>
      <c r="R362" s="2">
        <v>1.042E-3</v>
      </c>
      <c r="T362" s="12">
        <v>4</v>
      </c>
      <c r="U362" s="7"/>
      <c r="V362" s="7"/>
      <c r="W362" s="8"/>
      <c r="X362" s="9"/>
      <c r="Y362" s="9"/>
      <c r="Z362" s="9"/>
      <c r="AA362" s="10"/>
      <c r="AB362" s="11"/>
      <c r="AC362"/>
      <c r="AD362"/>
      <c r="AE362"/>
      <c r="AF362"/>
      <c r="AG362"/>
    </row>
    <row r="363" spans="1:33" x14ac:dyDescent="0.2">
      <c r="A363" s="1" t="s">
        <v>69</v>
      </c>
      <c r="B363" s="5" t="s">
        <v>15</v>
      </c>
      <c r="C363" s="2"/>
      <c r="D363" s="3"/>
      <c r="E363" s="11" t="s">
        <v>165</v>
      </c>
      <c r="F363" s="2"/>
      <c r="G363" s="2">
        <v>0</v>
      </c>
      <c r="H363" s="11"/>
      <c r="I363" s="2"/>
      <c r="J363" s="2">
        <v>0</v>
      </c>
      <c r="K363" s="12" t="s">
        <v>30</v>
      </c>
      <c r="L363" s="2">
        <v>1</v>
      </c>
      <c r="M363" s="3">
        <v>80</v>
      </c>
      <c r="N363" s="2">
        <v>0</v>
      </c>
      <c r="O363" s="2">
        <v>0</v>
      </c>
      <c r="P363" s="6">
        <v>3.3333000000000002E-2</v>
      </c>
      <c r="Q363" s="6">
        <v>0.38335000000000002</v>
      </c>
      <c r="R363" s="2">
        <v>1.2777999999999999E-2</v>
      </c>
      <c r="T363" s="12">
        <v>4</v>
      </c>
      <c r="U363" s="7"/>
      <c r="V363" s="7"/>
      <c r="W363" s="8"/>
      <c r="X363" s="9"/>
      <c r="Y363" s="9"/>
      <c r="Z363" s="9"/>
      <c r="AA363" s="10"/>
      <c r="AB363" s="11"/>
      <c r="AC363"/>
      <c r="AD363"/>
      <c r="AE363"/>
      <c r="AF363"/>
      <c r="AG363"/>
    </row>
    <row r="364" spans="1:33" x14ac:dyDescent="0.2">
      <c r="A364" s="1" t="s">
        <v>69</v>
      </c>
      <c r="B364" s="5" t="s">
        <v>15</v>
      </c>
      <c r="C364" s="2"/>
      <c r="D364" s="3"/>
      <c r="E364" s="11" t="s">
        <v>165</v>
      </c>
      <c r="F364" s="2"/>
      <c r="G364" s="2">
        <v>0</v>
      </c>
      <c r="H364" s="11"/>
      <c r="I364" s="2"/>
      <c r="J364" s="2">
        <v>0</v>
      </c>
      <c r="K364" s="12" t="s">
        <v>30</v>
      </c>
      <c r="L364" s="2">
        <v>1</v>
      </c>
      <c r="M364" s="3">
        <v>80</v>
      </c>
      <c r="N364" s="2">
        <v>0</v>
      </c>
      <c r="O364" s="2">
        <v>0</v>
      </c>
      <c r="P364" s="6">
        <v>3.3333000000000002E-2</v>
      </c>
      <c r="Q364" s="6">
        <v>5.4999999999999997E-3</v>
      </c>
      <c r="R364" s="2">
        <v>1.83E-4</v>
      </c>
      <c r="T364" s="12">
        <v>4</v>
      </c>
      <c r="U364" s="7"/>
      <c r="V364" s="7"/>
      <c r="W364" s="8"/>
      <c r="X364" s="9"/>
      <c r="Y364" s="9"/>
      <c r="Z364" s="9"/>
      <c r="AA364" s="10"/>
      <c r="AB364" s="11"/>
      <c r="AC364"/>
      <c r="AD364"/>
      <c r="AE364"/>
      <c r="AF364"/>
      <c r="AG364"/>
    </row>
    <row r="365" spans="1:33" x14ac:dyDescent="0.2">
      <c r="A365" s="1" t="s">
        <v>75</v>
      </c>
      <c r="B365" s="5" t="s">
        <v>15</v>
      </c>
      <c r="C365" s="2"/>
      <c r="D365" s="3"/>
      <c r="E365" s="11" t="s">
        <v>165</v>
      </c>
      <c r="F365" s="2"/>
      <c r="G365" s="2">
        <v>0</v>
      </c>
      <c r="H365" s="11"/>
      <c r="I365" s="2"/>
      <c r="J365" s="2">
        <v>0</v>
      </c>
      <c r="K365" s="12" t="s">
        <v>30</v>
      </c>
      <c r="L365" s="2">
        <v>1</v>
      </c>
      <c r="M365" s="3">
        <v>80</v>
      </c>
      <c r="N365" s="2">
        <v>0</v>
      </c>
      <c r="O365" s="2">
        <v>0</v>
      </c>
      <c r="P365" s="6">
        <v>3.3333000000000002E-2</v>
      </c>
      <c r="Q365" s="6">
        <v>0.125</v>
      </c>
      <c r="R365" s="2">
        <v>4.1669999999999997E-3</v>
      </c>
      <c r="T365" s="12">
        <v>4</v>
      </c>
      <c r="U365" s="7"/>
      <c r="V365" s="7"/>
      <c r="W365" s="8"/>
      <c r="X365" s="9"/>
      <c r="Y365" s="9"/>
      <c r="Z365" s="9"/>
      <c r="AA365" s="10"/>
      <c r="AB365" s="11"/>
      <c r="AC365"/>
      <c r="AD365"/>
      <c r="AE365"/>
      <c r="AF365"/>
      <c r="AG365"/>
    </row>
    <row r="366" spans="1:33" x14ac:dyDescent="0.2">
      <c r="A366" s="1" t="s">
        <v>96</v>
      </c>
      <c r="B366" s="5" t="s">
        <v>15</v>
      </c>
      <c r="C366" s="2"/>
      <c r="D366" s="3"/>
      <c r="E366" s="11" t="s">
        <v>165</v>
      </c>
      <c r="F366" s="2"/>
      <c r="G366" s="2">
        <v>0</v>
      </c>
      <c r="H366" s="11"/>
      <c r="I366" s="2"/>
      <c r="J366" s="2">
        <v>0</v>
      </c>
      <c r="K366" s="12" t="s">
        <v>30</v>
      </c>
      <c r="L366" s="2">
        <v>1</v>
      </c>
      <c r="M366" s="3">
        <v>80</v>
      </c>
      <c r="N366" s="2">
        <v>0</v>
      </c>
      <c r="O366" s="2">
        <v>0</v>
      </c>
      <c r="P366" s="6">
        <v>3.3333000000000002E-2</v>
      </c>
      <c r="Q366" s="6">
        <v>3.125E-2</v>
      </c>
      <c r="R366" s="2">
        <v>1.042E-3</v>
      </c>
      <c r="T366" s="12">
        <v>4</v>
      </c>
      <c r="U366" s="7"/>
      <c r="V366" s="7"/>
      <c r="W366" s="8"/>
      <c r="X366" s="9"/>
      <c r="Y366" s="9"/>
      <c r="Z366" s="9"/>
      <c r="AA366" s="10"/>
      <c r="AB366" s="11"/>
      <c r="AC366"/>
      <c r="AD366"/>
      <c r="AE366"/>
      <c r="AF366"/>
      <c r="AG366"/>
    </row>
    <row r="367" spans="1:33" x14ac:dyDescent="0.2">
      <c r="A367" s="1" t="s">
        <v>137</v>
      </c>
      <c r="B367" s="5" t="s">
        <v>15</v>
      </c>
      <c r="C367" s="2"/>
      <c r="D367" s="3"/>
      <c r="E367" s="11" t="s">
        <v>165</v>
      </c>
      <c r="F367" s="2"/>
      <c r="G367" s="2">
        <v>0</v>
      </c>
      <c r="H367" s="11"/>
      <c r="I367" s="2"/>
      <c r="J367" s="2">
        <v>0</v>
      </c>
      <c r="K367" s="12" t="s">
        <v>30</v>
      </c>
      <c r="L367" s="2">
        <v>1</v>
      </c>
      <c r="M367" s="3">
        <v>80</v>
      </c>
      <c r="N367" s="2">
        <v>0</v>
      </c>
      <c r="O367" s="2">
        <v>0</v>
      </c>
      <c r="P367" s="6">
        <v>3.3333000000000002E-2</v>
      </c>
      <c r="Q367" s="6">
        <v>6.25E-2</v>
      </c>
      <c r="R367" s="2">
        <v>2.0830000000000002E-3</v>
      </c>
      <c r="T367" s="12">
        <v>4</v>
      </c>
      <c r="U367" s="7"/>
      <c r="V367" s="7"/>
      <c r="W367" s="8"/>
      <c r="X367" s="9"/>
      <c r="Y367" s="9"/>
      <c r="Z367" s="9"/>
      <c r="AA367" s="10"/>
      <c r="AB367" s="11"/>
      <c r="AC367"/>
      <c r="AD367"/>
      <c r="AE367"/>
      <c r="AF367"/>
      <c r="AG367"/>
    </row>
    <row r="368" spans="1:33" x14ac:dyDescent="0.2">
      <c r="A368" s="1" t="s">
        <v>139</v>
      </c>
      <c r="B368" s="5" t="s">
        <v>15</v>
      </c>
      <c r="C368" s="2"/>
      <c r="D368" s="3"/>
      <c r="E368" s="11" t="s">
        <v>165</v>
      </c>
      <c r="F368" s="2"/>
      <c r="G368" s="2">
        <v>0</v>
      </c>
      <c r="H368" s="11"/>
      <c r="I368" s="2"/>
      <c r="J368" s="2">
        <v>0</v>
      </c>
      <c r="K368" s="12" t="s">
        <v>30</v>
      </c>
      <c r="L368" s="2">
        <v>1</v>
      </c>
      <c r="M368" s="3">
        <v>80</v>
      </c>
      <c r="N368" s="2">
        <v>0</v>
      </c>
      <c r="O368" s="2">
        <v>0</v>
      </c>
      <c r="P368" s="6">
        <v>3.3333000000000002E-2</v>
      </c>
      <c r="Q368" s="6">
        <v>0.125</v>
      </c>
      <c r="R368" s="2">
        <v>4.1669999999999997E-3</v>
      </c>
      <c r="T368" s="12">
        <v>4</v>
      </c>
      <c r="U368" s="7"/>
      <c r="V368" s="7"/>
      <c r="W368" s="8"/>
      <c r="X368" s="9"/>
      <c r="Y368" s="9"/>
      <c r="Z368" s="9"/>
      <c r="AA368" s="10"/>
      <c r="AB368" s="11"/>
      <c r="AC368"/>
      <c r="AD368"/>
      <c r="AE368"/>
      <c r="AF368"/>
      <c r="AG368"/>
    </row>
    <row r="369" spans="1:33" ht="25.5" x14ac:dyDescent="0.2">
      <c r="A369" s="1" t="s">
        <v>152</v>
      </c>
      <c r="B369" s="5" t="s">
        <v>15</v>
      </c>
      <c r="C369" s="2"/>
      <c r="D369" s="3"/>
      <c r="E369" s="11" t="s">
        <v>165</v>
      </c>
      <c r="F369" s="2"/>
      <c r="G369" s="2">
        <v>0</v>
      </c>
      <c r="H369" s="11"/>
      <c r="I369" s="2"/>
      <c r="J369" s="2">
        <v>0</v>
      </c>
      <c r="K369" s="12" t="s">
        <v>30</v>
      </c>
      <c r="L369" s="2">
        <v>1</v>
      </c>
      <c r="M369" s="3">
        <v>80</v>
      </c>
      <c r="N369" s="2">
        <v>0</v>
      </c>
      <c r="O369" s="2">
        <v>0</v>
      </c>
      <c r="P369" s="6">
        <v>3.3333000000000002E-2</v>
      </c>
      <c r="Q369" s="6">
        <v>8.3349999999999994E-2</v>
      </c>
      <c r="R369" s="2">
        <v>2.7780000000000001E-3</v>
      </c>
      <c r="T369" s="12">
        <v>4</v>
      </c>
      <c r="U369" s="7"/>
      <c r="V369" s="7"/>
      <c r="W369" s="8"/>
      <c r="X369" s="9"/>
      <c r="Y369" s="9"/>
      <c r="Z369" s="9"/>
      <c r="AA369" s="10"/>
      <c r="AB369" s="11"/>
      <c r="AC369"/>
      <c r="AD369"/>
      <c r="AE369"/>
      <c r="AF369"/>
      <c r="AG369"/>
    </row>
    <row r="370" spans="1:33" x14ac:dyDescent="0.2">
      <c r="A370" s="1" t="s">
        <v>159</v>
      </c>
      <c r="B370" s="5" t="s">
        <v>15</v>
      </c>
      <c r="C370" s="2"/>
      <c r="D370" s="3"/>
      <c r="E370" s="11" t="s">
        <v>165</v>
      </c>
      <c r="F370" s="2"/>
      <c r="G370" s="2">
        <v>0</v>
      </c>
      <c r="H370" s="11"/>
      <c r="I370" s="2"/>
      <c r="J370" s="2">
        <v>0</v>
      </c>
      <c r="K370" s="12" t="s">
        <v>30</v>
      </c>
      <c r="L370" s="2">
        <v>1</v>
      </c>
      <c r="M370" s="3">
        <v>80</v>
      </c>
      <c r="N370" s="2">
        <v>0</v>
      </c>
      <c r="O370" s="2">
        <v>0</v>
      </c>
      <c r="P370" s="6">
        <v>3.3333000000000002E-2</v>
      </c>
      <c r="Q370" s="6">
        <v>6.25E-2</v>
      </c>
      <c r="R370" s="2">
        <v>2.0830000000000002E-3</v>
      </c>
      <c r="T370" s="12">
        <v>4</v>
      </c>
      <c r="U370" s="7"/>
      <c r="V370" s="7"/>
      <c r="W370" s="8"/>
      <c r="X370" s="9"/>
      <c r="Y370" s="9"/>
      <c r="Z370" s="9"/>
      <c r="AA370" s="10"/>
      <c r="AB370" s="11"/>
      <c r="AC370"/>
      <c r="AD370"/>
      <c r="AE370"/>
      <c r="AF370"/>
      <c r="AG370"/>
    </row>
    <row r="371" spans="1:33" x14ac:dyDescent="0.2">
      <c r="A371" s="1" t="s">
        <v>79</v>
      </c>
      <c r="B371" s="5" t="s">
        <v>52</v>
      </c>
      <c r="C371" s="2">
        <v>5.3117999999999999E-2</v>
      </c>
      <c r="D371" s="3">
        <v>4.2494579999999997</v>
      </c>
      <c r="E371" s="11" t="s">
        <v>165</v>
      </c>
      <c r="F371" s="2"/>
      <c r="G371" s="2">
        <v>0</v>
      </c>
      <c r="H371" s="11"/>
      <c r="I371" s="2">
        <v>0.83333332999999998</v>
      </c>
      <c r="J371" s="2">
        <v>3.3333000000000002E-2</v>
      </c>
      <c r="K371" s="12" t="s">
        <v>30</v>
      </c>
      <c r="M371" s="3"/>
      <c r="N371" s="2">
        <v>0</v>
      </c>
      <c r="O371" s="2">
        <v>0</v>
      </c>
      <c r="P371" s="6">
        <v>0</v>
      </c>
      <c r="Q371" s="6">
        <v>0</v>
      </c>
      <c r="R371" s="2">
        <v>4.2494999999999998E-2</v>
      </c>
      <c r="T371" s="12">
        <v>4</v>
      </c>
      <c r="U371" s="7"/>
      <c r="V371" s="7"/>
      <c r="W371" s="8"/>
      <c r="X371" s="9"/>
      <c r="Y371" s="9"/>
      <c r="Z371" s="9"/>
      <c r="AA371" s="10"/>
      <c r="AB371" s="11"/>
      <c r="AC371"/>
      <c r="AD371"/>
      <c r="AE371"/>
      <c r="AF371"/>
      <c r="AG371"/>
    </row>
    <row r="372" spans="1:33" x14ac:dyDescent="0.2">
      <c r="A372" s="1" t="s">
        <v>79</v>
      </c>
      <c r="B372" s="5" t="s">
        <v>52</v>
      </c>
      <c r="C372" s="2">
        <v>3.5943999999999997E-2</v>
      </c>
      <c r="D372" s="3">
        <v>2.8755419999999998</v>
      </c>
      <c r="E372" s="11" t="s">
        <v>165</v>
      </c>
      <c r="F372" s="2"/>
      <c r="G372" s="2">
        <v>0</v>
      </c>
      <c r="H372" s="11"/>
      <c r="I372" s="2">
        <v>0.83333332999999998</v>
      </c>
      <c r="J372" s="2">
        <v>3.3333000000000002E-2</v>
      </c>
      <c r="K372" s="12" t="s">
        <v>30</v>
      </c>
      <c r="M372" s="3"/>
      <c r="N372" s="2">
        <v>0</v>
      </c>
      <c r="O372" s="2">
        <v>0</v>
      </c>
      <c r="P372" s="6">
        <v>0</v>
      </c>
      <c r="Q372" s="6">
        <v>0</v>
      </c>
      <c r="R372" s="2">
        <v>2.8754999999999999E-2</v>
      </c>
      <c r="T372" s="12">
        <v>4</v>
      </c>
      <c r="U372" s="7"/>
      <c r="V372" s="7"/>
      <c r="W372" s="8"/>
      <c r="X372" s="9"/>
      <c r="Y372" s="9"/>
      <c r="Z372" s="9"/>
      <c r="AA372" s="10"/>
      <c r="AB372" s="11"/>
      <c r="AC372"/>
      <c r="AD372"/>
      <c r="AE372"/>
      <c r="AF372"/>
      <c r="AG372"/>
    </row>
    <row r="373" spans="1:33" x14ac:dyDescent="0.2">
      <c r="A373" s="1" t="s">
        <v>79</v>
      </c>
      <c r="B373" s="5" t="s">
        <v>52</v>
      </c>
      <c r="C373" s="2">
        <v>1.892E-3</v>
      </c>
      <c r="D373" s="3">
        <v>0.15134400000000001</v>
      </c>
      <c r="E373" s="11" t="s">
        <v>165</v>
      </c>
      <c r="F373" s="2"/>
      <c r="G373" s="2">
        <v>0</v>
      </c>
      <c r="H373" s="11"/>
      <c r="I373" s="2">
        <v>0.83333332999999998</v>
      </c>
      <c r="J373" s="2">
        <v>3.3333000000000002E-2</v>
      </c>
      <c r="K373" s="12" t="s">
        <v>30</v>
      </c>
      <c r="M373" s="3"/>
      <c r="N373" s="2">
        <v>0</v>
      </c>
      <c r="O373" s="2">
        <v>0</v>
      </c>
      <c r="P373" s="6">
        <v>0</v>
      </c>
      <c r="Q373" s="6">
        <v>0</v>
      </c>
      <c r="R373" s="2">
        <v>1.513E-3</v>
      </c>
      <c r="T373" s="12">
        <v>4</v>
      </c>
      <c r="U373" s="7"/>
      <c r="V373" s="7"/>
      <c r="W373" s="8"/>
      <c r="X373" s="9"/>
      <c r="Y373" s="9"/>
      <c r="Z373" s="9"/>
      <c r="AA373" s="10"/>
      <c r="AB373" s="11"/>
      <c r="AC373"/>
      <c r="AD373"/>
      <c r="AE373"/>
      <c r="AF373"/>
      <c r="AG373"/>
    </row>
    <row r="374" spans="1:33" x14ac:dyDescent="0.2">
      <c r="A374" s="1" t="s">
        <v>79</v>
      </c>
      <c r="B374" s="5" t="s">
        <v>52</v>
      </c>
      <c r="C374" s="2">
        <v>2.7959999999999999E-3</v>
      </c>
      <c r="D374" s="3">
        <v>0.22365599999999999</v>
      </c>
      <c r="E374" s="11" t="s">
        <v>165</v>
      </c>
      <c r="F374" s="2"/>
      <c r="G374" s="2">
        <v>0</v>
      </c>
      <c r="H374" s="11"/>
      <c r="I374" s="2">
        <v>0.83333332999999998</v>
      </c>
      <c r="J374" s="2">
        <v>3.3333000000000002E-2</v>
      </c>
      <c r="K374" s="12" t="s">
        <v>30</v>
      </c>
      <c r="M374" s="3"/>
      <c r="N374" s="2">
        <v>0</v>
      </c>
      <c r="O374" s="2">
        <v>0</v>
      </c>
      <c r="P374" s="6">
        <v>0</v>
      </c>
      <c r="Q374" s="6">
        <v>0</v>
      </c>
      <c r="R374" s="2">
        <v>2.2369999999999998E-3</v>
      </c>
      <c r="T374" s="12">
        <v>4</v>
      </c>
      <c r="U374" s="7"/>
      <c r="V374" s="7"/>
      <c r="W374" s="8"/>
      <c r="X374" s="9"/>
      <c r="Y374" s="9"/>
      <c r="Z374" s="9"/>
      <c r="AA374" s="10"/>
      <c r="AB374" s="11"/>
      <c r="AC374"/>
      <c r="AD374"/>
      <c r="AE374"/>
      <c r="AF374"/>
      <c r="AG374"/>
    </row>
    <row r="375" spans="1:33" x14ac:dyDescent="0.2">
      <c r="A375" s="1" t="s">
        <v>82</v>
      </c>
      <c r="B375" s="5" t="s">
        <v>52</v>
      </c>
      <c r="C375" s="2">
        <v>4.6880000000000003E-3</v>
      </c>
      <c r="D375" s="3">
        <v>0.375</v>
      </c>
      <c r="E375" s="11" t="s">
        <v>165</v>
      </c>
      <c r="F375" s="2"/>
      <c r="G375" s="2">
        <v>0</v>
      </c>
      <c r="H375" s="11"/>
      <c r="I375" s="2">
        <v>0.83333332999999998</v>
      </c>
      <c r="J375" s="2">
        <v>3.3333000000000002E-2</v>
      </c>
      <c r="K375" s="12" t="s">
        <v>30</v>
      </c>
      <c r="M375" s="3"/>
      <c r="N375" s="2">
        <v>0</v>
      </c>
      <c r="O375" s="2">
        <v>0</v>
      </c>
      <c r="P375" s="6">
        <v>0</v>
      </c>
      <c r="Q375" s="6">
        <v>0</v>
      </c>
      <c r="R375" s="2">
        <v>3.7499999999999999E-3</v>
      </c>
      <c r="T375" s="12">
        <v>4</v>
      </c>
      <c r="U375" s="7"/>
      <c r="V375" s="7"/>
      <c r="W375" s="8"/>
      <c r="X375" s="9"/>
      <c r="Y375" s="9"/>
      <c r="Z375" s="9"/>
      <c r="AA375" s="10"/>
      <c r="AB375" s="11"/>
      <c r="AC375"/>
      <c r="AD375"/>
      <c r="AE375"/>
      <c r="AF375"/>
      <c r="AG375"/>
    </row>
    <row r="376" spans="1:33" x14ac:dyDescent="0.2">
      <c r="A376" s="1" t="s">
        <v>82</v>
      </c>
      <c r="B376" s="5" t="s">
        <v>52</v>
      </c>
      <c r="C376" s="2">
        <v>2.8125000000000001E-2</v>
      </c>
      <c r="D376" s="3">
        <v>2.25</v>
      </c>
      <c r="E376" s="11" t="s">
        <v>165</v>
      </c>
      <c r="F376" s="2"/>
      <c r="G376" s="2">
        <v>0</v>
      </c>
      <c r="H376" s="11"/>
      <c r="I376" s="2">
        <v>0.83333332999999998</v>
      </c>
      <c r="J376" s="2">
        <v>3.3333000000000002E-2</v>
      </c>
      <c r="K376" s="12" t="s">
        <v>30</v>
      </c>
      <c r="M376" s="3"/>
      <c r="N376" s="2">
        <v>0</v>
      </c>
      <c r="O376" s="2">
        <v>0</v>
      </c>
      <c r="P376" s="6">
        <v>0</v>
      </c>
      <c r="Q376" s="6">
        <v>0</v>
      </c>
      <c r="R376" s="2">
        <v>2.2499999999999999E-2</v>
      </c>
      <c r="T376" s="12">
        <v>4</v>
      </c>
      <c r="U376" s="7"/>
      <c r="V376" s="7"/>
      <c r="W376" s="8"/>
      <c r="X376" s="9"/>
      <c r="Y376" s="9"/>
      <c r="Z376" s="9"/>
      <c r="AA376" s="10"/>
      <c r="AB376" s="11"/>
      <c r="AC376"/>
      <c r="AD376"/>
      <c r="AE376"/>
      <c r="AF376"/>
      <c r="AG376"/>
    </row>
    <row r="377" spans="1:33" x14ac:dyDescent="0.2">
      <c r="A377" s="1" t="s">
        <v>82</v>
      </c>
      <c r="B377" s="5" t="s">
        <v>52</v>
      </c>
      <c r="C377" s="2">
        <v>0.25</v>
      </c>
      <c r="D377" s="3">
        <v>20</v>
      </c>
      <c r="E377" s="11" t="s">
        <v>165</v>
      </c>
      <c r="F377" s="2"/>
      <c r="G377" s="2">
        <v>0</v>
      </c>
      <c r="H377" s="11"/>
      <c r="I377" s="2">
        <v>0.83333332999999998</v>
      </c>
      <c r="J377" s="2">
        <v>3.3333000000000002E-2</v>
      </c>
      <c r="K377" s="12" t="s">
        <v>30</v>
      </c>
      <c r="M377" s="3"/>
      <c r="N377" s="2">
        <v>0</v>
      </c>
      <c r="O377" s="2">
        <v>0</v>
      </c>
      <c r="P377" s="6">
        <v>0</v>
      </c>
      <c r="Q377" s="6">
        <v>0</v>
      </c>
      <c r="R377" s="2">
        <v>0.2</v>
      </c>
      <c r="T377" s="12">
        <v>4</v>
      </c>
      <c r="U377" s="7"/>
      <c r="V377" s="7"/>
      <c r="W377" s="8"/>
      <c r="X377" s="9"/>
      <c r="Y377" s="9"/>
      <c r="Z377" s="9"/>
      <c r="AA377" s="10"/>
      <c r="AB377" s="11"/>
      <c r="AC377"/>
      <c r="AD377"/>
      <c r="AE377"/>
      <c r="AF377"/>
      <c r="AG377"/>
    </row>
    <row r="378" spans="1:33" x14ac:dyDescent="0.2">
      <c r="A378" s="1" t="s">
        <v>82</v>
      </c>
      <c r="B378" s="5" t="s">
        <v>52</v>
      </c>
      <c r="C378" s="2">
        <v>0.53437500000000004</v>
      </c>
      <c r="D378" s="3">
        <v>42.75</v>
      </c>
      <c r="E378" s="11" t="s">
        <v>165</v>
      </c>
      <c r="F378" s="2"/>
      <c r="G378" s="2">
        <v>0</v>
      </c>
      <c r="H378" s="11"/>
      <c r="I378" s="2">
        <v>0.83333332999999998</v>
      </c>
      <c r="J378" s="2">
        <v>3.3333000000000002E-2</v>
      </c>
      <c r="K378" s="12" t="s">
        <v>30</v>
      </c>
      <c r="M378" s="3"/>
      <c r="N378" s="2">
        <v>0</v>
      </c>
      <c r="O378" s="2">
        <v>0</v>
      </c>
      <c r="P378" s="6">
        <v>0</v>
      </c>
      <c r="Q378" s="6">
        <v>0</v>
      </c>
      <c r="R378" s="2">
        <v>0.42749999999999999</v>
      </c>
      <c r="T378" s="12">
        <v>4</v>
      </c>
      <c r="U378" s="7"/>
      <c r="V378" s="7"/>
      <c r="W378" s="8"/>
      <c r="X378" s="9"/>
      <c r="Y378" s="9"/>
      <c r="Z378" s="9"/>
      <c r="AA378" s="10"/>
      <c r="AB378" s="11"/>
      <c r="AC378"/>
      <c r="AD378"/>
      <c r="AE378"/>
      <c r="AF378"/>
      <c r="AG378"/>
    </row>
    <row r="379" spans="1:33" x14ac:dyDescent="0.2">
      <c r="A379" s="1" t="s">
        <v>82</v>
      </c>
      <c r="B379" s="5" t="s">
        <v>52</v>
      </c>
      <c r="C379" s="2">
        <v>8.9063000000000003E-2</v>
      </c>
      <c r="D379" s="3">
        <v>7.125</v>
      </c>
      <c r="E379" s="11" t="s">
        <v>165</v>
      </c>
      <c r="F379" s="2"/>
      <c r="G379" s="2">
        <v>0</v>
      </c>
      <c r="H379" s="11"/>
      <c r="I379" s="2">
        <v>0.83333332999999998</v>
      </c>
      <c r="J379" s="2">
        <v>3.3333000000000002E-2</v>
      </c>
      <c r="K379" s="12" t="s">
        <v>30</v>
      </c>
      <c r="M379" s="3"/>
      <c r="N379" s="2">
        <v>0</v>
      </c>
      <c r="O379" s="2">
        <v>0</v>
      </c>
      <c r="P379" s="6">
        <v>0</v>
      </c>
      <c r="Q379" s="6">
        <v>0</v>
      </c>
      <c r="R379" s="2">
        <v>7.1249999999999994E-2</v>
      </c>
      <c r="T379" s="12">
        <v>4</v>
      </c>
      <c r="U379" s="7"/>
      <c r="V379" s="7"/>
      <c r="W379" s="8"/>
      <c r="X379" s="9"/>
      <c r="Y379" s="9"/>
      <c r="Z379" s="9"/>
      <c r="AA379" s="10"/>
      <c r="AB379" s="11"/>
      <c r="AC379"/>
      <c r="AD379"/>
      <c r="AE379"/>
      <c r="AF379"/>
      <c r="AG379"/>
    </row>
    <row r="380" spans="1:33" x14ac:dyDescent="0.2">
      <c r="A380" s="39" t="s">
        <v>161</v>
      </c>
      <c r="B380" s="5" t="s">
        <v>21</v>
      </c>
      <c r="C380" s="2">
        <v>2.5000000000000001E-3</v>
      </c>
      <c r="D380" s="3">
        <v>0.4</v>
      </c>
      <c r="E380" s="40" t="s">
        <v>43</v>
      </c>
      <c r="F380" s="2">
        <v>0.1875</v>
      </c>
      <c r="G380" s="2">
        <v>0</v>
      </c>
      <c r="H380" s="40"/>
      <c r="I380" s="2"/>
      <c r="J380" s="2">
        <v>0</v>
      </c>
      <c r="K380" s="41"/>
      <c r="M380" s="3"/>
      <c r="N380" s="2">
        <v>0</v>
      </c>
      <c r="O380" s="2">
        <v>0</v>
      </c>
      <c r="P380" s="6">
        <v>0</v>
      </c>
      <c r="Q380" s="6">
        <v>0</v>
      </c>
      <c r="R380" s="2">
        <v>4.6874999999999998E-4</v>
      </c>
      <c r="T380" s="41">
        <v>5</v>
      </c>
      <c r="Y380" s="7"/>
      <c r="AA380" s="8"/>
      <c r="AB380" s="9"/>
      <c r="AE380" s="10"/>
      <c r="AF380" s="11"/>
      <c r="AG380"/>
    </row>
    <row r="381" spans="1:33" ht="25.5" x14ac:dyDescent="0.2">
      <c r="A381" s="39" t="s">
        <v>235</v>
      </c>
      <c r="B381" s="5" t="s">
        <v>21</v>
      </c>
      <c r="C381" s="2">
        <v>3.3333299999999998E-3</v>
      </c>
      <c r="D381" s="3">
        <v>0.53333299999999995</v>
      </c>
      <c r="E381" s="40" t="s">
        <v>22</v>
      </c>
      <c r="F381" s="2">
        <v>0.1875</v>
      </c>
      <c r="G381" s="2">
        <v>0</v>
      </c>
      <c r="H381" s="40"/>
      <c r="I381" s="2"/>
      <c r="J381" s="2">
        <v>0</v>
      </c>
      <c r="K381" s="41"/>
      <c r="M381" s="3"/>
      <c r="N381" s="2">
        <v>0</v>
      </c>
      <c r="O381" s="2">
        <v>0</v>
      </c>
      <c r="P381" s="6">
        <v>0</v>
      </c>
      <c r="Q381" s="6">
        <v>0</v>
      </c>
      <c r="R381" s="2">
        <v>6.2500000000000001E-4</v>
      </c>
      <c r="T381" s="41">
        <v>5</v>
      </c>
      <c r="Y381" s="7"/>
      <c r="AA381" s="8"/>
      <c r="AB381" s="9"/>
      <c r="AE381" s="10"/>
      <c r="AF381" s="11"/>
      <c r="AG381"/>
    </row>
    <row r="382" spans="1:33" x14ac:dyDescent="0.2">
      <c r="A382" s="39" t="s">
        <v>236</v>
      </c>
      <c r="B382" s="5" t="s">
        <v>21</v>
      </c>
      <c r="C382" s="2">
        <v>2.5000000000000001E-3</v>
      </c>
      <c r="D382" s="3">
        <v>0.4</v>
      </c>
      <c r="E382" s="40" t="s">
        <v>43</v>
      </c>
      <c r="F382" s="2">
        <v>0.1875</v>
      </c>
      <c r="G382" s="2">
        <v>0</v>
      </c>
      <c r="H382" s="40"/>
      <c r="I382" s="2"/>
      <c r="J382" s="2">
        <v>0</v>
      </c>
      <c r="K382" s="41"/>
      <c r="M382" s="3"/>
      <c r="N382" s="2">
        <v>0</v>
      </c>
      <c r="O382" s="2">
        <v>0</v>
      </c>
      <c r="P382" s="6">
        <v>0</v>
      </c>
      <c r="Q382" s="6">
        <v>0</v>
      </c>
      <c r="R382" s="2">
        <v>4.6874999999999998E-4</v>
      </c>
      <c r="T382" s="41">
        <v>5</v>
      </c>
      <c r="Y382" s="7"/>
      <c r="AA382" s="8"/>
      <c r="AB382" s="9"/>
      <c r="AE382" s="10"/>
      <c r="AF382" s="11"/>
      <c r="AG382"/>
    </row>
    <row r="383" spans="1:33" x14ac:dyDescent="0.2">
      <c r="A383" s="39" t="s">
        <v>237</v>
      </c>
      <c r="B383" s="5" t="s">
        <v>21</v>
      </c>
      <c r="C383" s="2">
        <v>1.25E-3</v>
      </c>
      <c r="D383" s="3">
        <v>0.2</v>
      </c>
      <c r="E383" s="40" t="s">
        <v>30</v>
      </c>
      <c r="F383" s="2">
        <v>0.1875</v>
      </c>
      <c r="G383" s="2">
        <v>0</v>
      </c>
      <c r="H383" s="40"/>
      <c r="I383" s="2"/>
      <c r="J383" s="2">
        <v>0</v>
      </c>
      <c r="K383" s="41"/>
      <c r="M383" s="3"/>
      <c r="N383" s="2">
        <v>0</v>
      </c>
      <c r="O383" s="2">
        <v>0</v>
      </c>
      <c r="P383" s="6">
        <v>0</v>
      </c>
      <c r="Q383" s="6">
        <v>0</v>
      </c>
      <c r="R383" s="2">
        <v>2.3437999999999999E-4</v>
      </c>
      <c r="T383" s="41">
        <v>5</v>
      </c>
      <c r="Y383" s="7"/>
      <c r="AA383" s="8"/>
      <c r="AB383" s="9"/>
      <c r="AE383" s="10"/>
      <c r="AF383" s="11"/>
      <c r="AG383"/>
    </row>
    <row r="384" spans="1:33" x14ac:dyDescent="0.2">
      <c r="A384" s="39" t="s">
        <v>169</v>
      </c>
      <c r="B384" s="5" t="s">
        <v>21</v>
      </c>
      <c r="C384" s="2">
        <v>3.3333299999999998E-3</v>
      </c>
      <c r="D384" s="3">
        <v>0.53333299999999995</v>
      </c>
      <c r="E384" s="40" t="s">
        <v>22</v>
      </c>
      <c r="F384" s="2">
        <v>0.1875</v>
      </c>
      <c r="G384" s="2">
        <v>0</v>
      </c>
      <c r="H384" s="40"/>
      <c r="I384" s="2"/>
      <c r="J384" s="2">
        <v>0</v>
      </c>
      <c r="K384" s="41"/>
      <c r="M384" s="3"/>
      <c r="N384" s="2">
        <v>0</v>
      </c>
      <c r="O384" s="2">
        <v>0</v>
      </c>
      <c r="P384" s="6">
        <v>0</v>
      </c>
      <c r="Q384" s="6">
        <v>0</v>
      </c>
      <c r="R384" s="2">
        <v>6.2500000000000001E-4</v>
      </c>
      <c r="T384" s="41">
        <v>5</v>
      </c>
      <c r="Y384" s="7"/>
      <c r="AA384" s="8"/>
      <c r="AB384" s="9"/>
      <c r="AE384" s="10"/>
      <c r="AF384" s="11"/>
      <c r="AG384"/>
    </row>
    <row r="385" spans="1:33" ht="38.25" x14ac:dyDescent="0.2">
      <c r="A385" s="39" t="s">
        <v>238</v>
      </c>
      <c r="B385" s="5" t="s">
        <v>21</v>
      </c>
      <c r="C385" s="2">
        <v>7.4999999999999997E-2</v>
      </c>
      <c r="D385" s="3">
        <v>12</v>
      </c>
      <c r="E385" s="40" t="s">
        <v>154</v>
      </c>
      <c r="F385" s="2">
        <v>0.16666666999999999</v>
      </c>
      <c r="G385" s="2">
        <v>0</v>
      </c>
      <c r="H385" s="40"/>
      <c r="I385" s="2"/>
      <c r="J385" s="2">
        <v>0</v>
      </c>
      <c r="K385" s="41"/>
      <c r="M385" s="3"/>
      <c r="N385" s="2">
        <v>0</v>
      </c>
      <c r="O385" s="2">
        <v>0</v>
      </c>
      <c r="P385" s="6">
        <v>0</v>
      </c>
      <c r="Q385" s="6">
        <v>0</v>
      </c>
      <c r="R385" s="2">
        <v>1.2500000000000001E-2</v>
      </c>
      <c r="T385" s="41">
        <v>5</v>
      </c>
      <c r="Y385" s="7"/>
      <c r="AA385" s="8"/>
      <c r="AB385" s="9"/>
      <c r="AE385" s="10"/>
      <c r="AF385" s="11"/>
      <c r="AG385"/>
    </row>
    <row r="386" spans="1:33" x14ac:dyDescent="0.2">
      <c r="A386" s="39" t="s">
        <v>239</v>
      </c>
      <c r="B386" s="5" t="s">
        <v>21</v>
      </c>
      <c r="C386" s="2">
        <v>6.6666700000000004E-3</v>
      </c>
      <c r="D386" s="3">
        <v>1.0666659999999999</v>
      </c>
      <c r="E386" s="40" t="s">
        <v>30</v>
      </c>
      <c r="F386" s="2">
        <v>0.1875</v>
      </c>
      <c r="G386" s="2">
        <v>0</v>
      </c>
      <c r="H386" s="40"/>
      <c r="I386" s="2"/>
      <c r="J386" s="2">
        <v>0</v>
      </c>
      <c r="K386" s="41"/>
      <c r="M386" s="3"/>
      <c r="N386" s="2">
        <v>0</v>
      </c>
      <c r="O386" s="2">
        <v>0</v>
      </c>
      <c r="P386" s="6">
        <v>0</v>
      </c>
      <c r="Q386" s="6">
        <v>0</v>
      </c>
      <c r="R386" s="2">
        <v>1.25E-3</v>
      </c>
      <c r="T386" s="41">
        <v>5</v>
      </c>
      <c r="Y386" s="7"/>
      <c r="AA386" s="8"/>
      <c r="AB386" s="9"/>
      <c r="AE386" s="10"/>
      <c r="AF386" s="11"/>
      <c r="AG386"/>
    </row>
    <row r="387" spans="1:33" x14ac:dyDescent="0.2">
      <c r="A387" s="39" t="s">
        <v>240</v>
      </c>
      <c r="B387" s="5" t="s">
        <v>21</v>
      </c>
      <c r="C387" s="2">
        <v>3.3333299999999998E-3</v>
      </c>
      <c r="D387" s="3">
        <v>0.53333299999999995</v>
      </c>
      <c r="E387" s="40" t="s">
        <v>48</v>
      </c>
      <c r="F387" s="2">
        <v>0.1875</v>
      </c>
      <c r="G387" s="2">
        <v>0</v>
      </c>
      <c r="H387" s="40"/>
      <c r="I387" s="2"/>
      <c r="J387" s="2">
        <v>0</v>
      </c>
      <c r="K387" s="41"/>
      <c r="M387" s="3"/>
      <c r="N387" s="2">
        <v>0</v>
      </c>
      <c r="O387" s="2">
        <v>0</v>
      </c>
      <c r="P387" s="6">
        <v>0</v>
      </c>
      <c r="Q387" s="6">
        <v>0</v>
      </c>
      <c r="R387" s="2">
        <v>6.2500000000000001E-4</v>
      </c>
      <c r="T387" s="41">
        <v>5</v>
      </c>
      <c r="Y387" s="7"/>
      <c r="AA387" s="8"/>
      <c r="AB387" s="9"/>
      <c r="AE387" s="10"/>
      <c r="AF387" s="11"/>
      <c r="AG387"/>
    </row>
    <row r="388" spans="1:33" x14ac:dyDescent="0.2">
      <c r="A388" s="39" t="s">
        <v>241</v>
      </c>
      <c r="B388" s="5" t="s">
        <v>21</v>
      </c>
      <c r="C388" s="2">
        <v>3.3333299999999998E-3</v>
      </c>
      <c r="D388" s="3">
        <v>0.53333299999999995</v>
      </c>
      <c r="E388" s="40" t="s">
        <v>48</v>
      </c>
      <c r="F388" s="2">
        <v>0.1875</v>
      </c>
      <c r="G388" s="2">
        <v>0</v>
      </c>
      <c r="H388" s="40"/>
      <c r="I388" s="2"/>
      <c r="J388" s="2">
        <v>0</v>
      </c>
      <c r="K388" s="41"/>
      <c r="M388" s="3"/>
      <c r="N388" s="2">
        <v>0</v>
      </c>
      <c r="O388" s="2">
        <v>0</v>
      </c>
      <c r="P388" s="6">
        <v>0</v>
      </c>
      <c r="Q388" s="6">
        <v>0</v>
      </c>
      <c r="R388" s="2">
        <v>6.2500000000000001E-4</v>
      </c>
      <c r="T388" s="41">
        <v>5</v>
      </c>
      <c r="Y388" s="7"/>
      <c r="AA388" s="8"/>
      <c r="AB388" s="9"/>
      <c r="AE388" s="10"/>
      <c r="AF388" s="11"/>
      <c r="AG388"/>
    </row>
    <row r="389" spans="1:33" x14ac:dyDescent="0.2">
      <c r="A389" s="39" t="s">
        <v>242</v>
      </c>
      <c r="B389" s="5" t="s">
        <v>21</v>
      </c>
      <c r="C389" s="2">
        <v>1.6666670000000001E-2</v>
      </c>
      <c r="D389" s="3">
        <v>2.6666669999999999</v>
      </c>
      <c r="E389" s="40" t="s">
        <v>30</v>
      </c>
      <c r="F389" s="2">
        <v>0.1875</v>
      </c>
      <c r="G389" s="2">
        <v>0</v>
      </c>
      <c r="H389" s="40"/>
      <c r="I389" s="2"/>
      <c r="J389" s="2">
        <v>0</v>
      </c>
      <c r="K389" s="41"/>
      <c r="M389" s="3"/>
      <c r="N389" s="2">
        <v>0</v>
      </c>
      <c r="O389" s="2">
        <v>0</v>
      </c>
      <c r="P389" s="6">
        <v>0</v>
      </c>
      <c r="Q389" s="6">
        <v>0</v>
      </c>
      <c r="R389" s="2">
        <v>3.1250000000000002E-3</v>
      </c>
      <c r="T389" s="41">
        <v>5</v>
      </c>
      <c r="Y389" s="7"/>
      <c r="AA389" s="8"/>
      <c r="AB389" s="9"/>
      <c r="AE389" s="10"/>
      <c r="AF389" s="11"/>
      <c r="AG389"/>
    </row>
    <row r="390" spans="1:33" ht="38.25" x14ac:dyDescent="0.2">
      <c r="A390" s="39" t="s">
        <v>243</v>
      </c>
      <c r="B390" s="5" t="s">
        <v>21</v>
      </c>
      <c r="C390" s="2">
        <v>3.3333299999999998E-3</v>
      </c>
      <c r="D390" s="3">
        <v>0.53333299999999995</v>
      </c>
      <c r="E390" s="40" t="s">
        <v>22</v>
      </c>
      <c r="F390" s="2">
        <v>0.1875</v>
      </c>
      <c r="G390" s="2">
        <v>0</v>
      </c>
      <c r="H390" s="40"/>
      <c r="I390" s="2"/>
      <c r="J390" s="2">
        <v>0</v>
      </c>
      <c r="K390" s="41"/>
      <c r="M390" s="3"/>
      <c r="N390" s="2">
        <v>0</v>
      </c>
      <c r="O390" s="2">
        <v>0</v>
      </c>
      <c r="P390" s="6">
        <v>0</v>
      </c>
      <c r="Q390" s="6">
        <v>0</v>
      </c>
      <c r="R390" s="2">
        <v>6.2500000000000001E-4</v>
      </c>
      <c r="T390" s="41">
        <v>5</v>
      </c>
      <c r="Y390" s="7"/>
      <c r="AA390" s="8"/>
      <c r="AB390" s="9"/>
      <c r="AE390" s="10"/>
      <c r="AF390" s="11"/>
      <c r="AG390"/>
    </row>
    <row r="391" spans="1:33" x14ac:dyDescent="0.2">
      <c r="A391" s="39" t="s">
        <v>244</v>
      </c>
      <c r="B391" s="5" t="s">
        <v>21</v>
      </c>
      <c r="C391" s="2">
        <v>3.3333299999999998E-3</v>
      </c>
      <c r="D391" s="3">
        <v>0.53333299999999995</v>
      </c>
      <c r="E391" s="40" t="s">
        <v>48</v>
      </c>
      <c r="F391" s="2">
        <v>0.1875</v>
      </c>
      <c r="G391" s="2">
        <v>0</v>
      </c>
      <c r="H391" s="40"/>
      <c r="I391" s="2"/>
      <c r="J391" s="2">
        <v>0</v>
      </c>
      <c r="K391" s="41"/>
      <c r="M391" s="3"/>
      <c r="N391" s="2">
        <v>0</v>
      </c>
      <c r="O391" s="2">
        <v>0</v>
      </c>
      <c r="P391" s="6">
        <v>0</v>
      </c>
      <c r="Q391" s="6">
        <v>0</v>
      </c>
      <c r="R391" s="2">
        <v>6.2500000000000001E-4</v>
      </c>
      <c r="T391" s="41">
        <v>5</v>
      </c>
      <c r="Y391" s="7"/>
      <c r="AA391" s="8"/>
      <c r="AB391" s="9"/>
      <c r="AE391" s="10"/>
      <c r="AF391" s="11"/>
      <c r="AG391"/>
    </row>
    <row r="392" spans="1:33" x14ac:dyDescent="0.2">
      <c r="A392" s="39" t="s">
        <v>185</v>
      </c>
      <c r="B392" s="5" t="s">
        <v>21</v>
      </c>
      <c r="C392" s="2">
        <v>2.5000000000000001E-3</v>
      </c>
      <c r="D392" s="3">
        <v>0.4</v>
      </c>
      <c r="E392" s="40" t="s">
        <v>43</v>
      </c>
      <c r="F392" s="2">
        <v>0.1875</v>
      </c>
      <c r="G392" s="2">
        <v>0</v>
      </c>
      <c r="H392" s="40"/>
      <c r="I392" s="2"/>
      <c r="J392" s="2">
        <v>0</v>
      </c>
      <c r="K392" s="41"/>
      <c r="M392" s="3"/>
      <c r="N392" s="2">
        <v>0</v>
      </c>
      <c r="O392" s="2">
        <v>0</v>
      </c>
      <c r="P392" s="6">
        <v>0</v>
      </c>
      <c r="Q392" s="6">
        <v>0</v>
      </c>
      <c r="R392" s="2">
        <v>4.6874999999999998E-4</v>
      </c>
      <c r="T392" s="41">
        <v>5</v>
      </c>
      <c r="Y392" s="7"/>
      <c r="AA392" s="8"/>
      <c r="AB392" s="9"/>
      <c r="AE392" s="10"/>
      <c r="AF392" s="11"/>
      <c r="AG392"/>
    </row>
    <row r="393" spans="1:33" x14ac:dyDescent="0.2">
      <c r="A393" s="39" t="s">
        <v>186</v>
      </c>
      <c r="B393" s="5" t="s">
        <v>21</v>
      </c>
      <c r="C393" s="2">
        <v>1.6666670000000001E-2</v>
      </c>
      <c r="D393" s="3">
        <v>2.6666669999999999</v>
      </c>
      <c r="E393" s="40" t="s">
        <v>73</v>
      </c>
      <c r="F393" s="2">
        <v>0.15</v>
      </c>
      <c r="G393" s="2">
        <v>0</v>
      </c>
      <c r="H393" s="40"/>
      <c r="I393" s="2"/>
      <c r="J393" s="2">
        <v>0</v>
      </c>
      <c r="K393" s="41"/>
      <c r="M393" s="3"/>
      <c r="N393" s="2">
        <v>0</v>
      </c>
      <c r="O393" s="2">
        <v>0</v>
      </c>
      <c r="P393" s="6">
        <v>0</v>
      </c>
      <c r="Q393" s="6">
        <v>0</v>
      </c>
      <c r="R393" s="2">
        <v>2.5000000000000001E-3</v>
      </c>
      <c r="T393" s="41">
        <v>5</v>
      </c>
      <c r="Y393" s="7"/>
      <c r="AA393" s="8"/>
      <c r="AB393" s="9"/>
      <c r="AE393" s="10"/>
      <c r="AF393" s="11"/>
      <c r="AG393"/>
    </row>
    <row r="394" spans="1:33" x14ac:dyDescent="0.2">
      <c r="A394" s="39" t="s">
        <v>245</v>
      </c>
      <c r="B394" s="5" t="s">
        <v>21</v>
      </c>
      <c r="C394" s="2">
        <v>0.05</v>
      </c>
      <c r="D394" s="3">
        <v>8</v>
      </c>
      <c r="E394" s="40" t="s">
        <v>109</v>
      </c>
      <c r="F394" s="2">
        <v>0.2</v>
      </c>
      <c r="G394" s="2">
        <v>0</v>
      </c>
      <c r="H394" s="40"/>
      <c r="I394" s="2"/>
      <c r="J394" s="2">
        <v>0</v>
      </c>
      <c r="K394" s="41"/>
      <c r="M394" s="3"/>
      <c r="N394" s="2">
        <v>0</v>
      </c>
      <c r="O394" s="2">
        <v>0</v>
      </c>
      <c r="P394" s="6">
        <v>0</v>
      </c>
      <c r="Q394" s="6">
        <v>0</v>
      </c>
      <c r="R394" s="2">
        <v>0.01</v>
      </c>
      <c r="T394" s="41">
        <v>5</v>
      </c>
      <c r="Y394" s="7"/>
      <c r="AA394" s="8"/>
      <c r="AB394" s="9"/>
      <c r="AE394" s="10"/>
      <c r="AF394" s="11"/>
      <c r="AG394"/>
    </row>
    <row r="395" spans="1:33" x14ac:dyDescent="0.2">
      <c r="A395" s="39" t="s">
        <v>246</v>
      </c>
      <c r="B395" s="5" t="s">
        <v>21</v>
      </c>
      <c r="C395" s="2">
        <v>3.3333299999999998E-3</v>
      </c>
      <c r="D395" s="3">
        <v>0.53333299999999995</v>
      </c>
      <c r="E395" s="40" t="s">
        <v>48</v>
      </c>
      <c r="F395" s="2">
        <v>0.1875</v>
      </c>
      <c r="G395" s="2">
        <v>0</v>
      </c>
      <c r="H395" s="40"/>
      <c r="I395" s="2"/>
      <c r="J395" s="2">
        <v>0</v>
      </c>
      <c r="K395" s="41"/>
      <c r="M395" s="3"/>
      <c r="N395" s="2">
        <v>0</v>
      </c>
      <c r="O395" s="2">
        <v>0</v>
      </c>
      <c r="P395" s="6">
        <v>0</v>
      </c>
      <c r="Q395" s="6">
        <v>0</v>
      </c>
      <c r="R395" s="2">
        <v>6.2500000000000001E-4</v>
      </c>
      <c r="T395" s="41">
        <v>5</v>
      </c>
      <c r="Y395" s="7"/>
      <c r="AA395" s="8"/>
      <c r="AB395" s="9"/>
      <c r="AE395" s="10"/>
      <c r="AF395" s="11"/>
      <c r="AG395"/>
    </row>
    <row r="396" spans="1:33" x14ac:dyDescent="0.2">
      <c r="A396" s="39" t="s">
        <v>247</v>
      </c>
      <c r="B396" s="5" t="s">
        <v>21</v>
      </c>
      <c r="C396" s="2">
        <v>1.6666670000000001E-2</v>
      </c>
      <c r="D396" s="3">
        <v>2.6666669999999999</v>
      </c>
      <c r="E396" s="40" t="s">
        <v>115</v>
      </c>
      <c r="F396" s="2">
        <v>0.2</v>
      </c>
      <c r="G396" s="2">
        <v>0</v>
      </c>
      <c r="H396" s="40"/>
      <c r="I396" s="2"/>
      <c r="J396" s="2">
        <v>0</v>
      </c>
      <c r="K396" s="41"/>
      <c r="M396" s="3"/>
      <c r="N396" s="2">
        <v>0</v>
      </c>
      <c r="O396" s="2">
        <v>0</v>
      </c>
      <c r="P396" s="6">
        <v>0</v>
      </c>
      <c r="Q396" s="6">
        <v>0</v>
      </c>
      <c r="R396" s="2">
        <v>3.3333299999999998E-3</v>
      </c>
      <c r="T396" s="41">
        <v>5</v>
      </c>
      <c r="Y396" s="7"/>
      <c r="AA396" s="8"/>
      <c r="AB396" s="9"/>
      <c r="AE396" s="10"/>
      <c r="AF396" s="11"/>
      <c r="AG396"/>
    </row>
    <row r="397" spans="1:33" ht="25.5" x14ac:dyDescent="0.2">
      <c r="A397" s="39" t="s">
        <v>248</v>
      </c>
      <c r="B397" s="5" t="s">
        <v>21</v>
      </c>
      <c r="C397" s="2">
        <v>1.111111E-2</v>
      </c>
      <c r="D397" s="3">
        <v>1.7777780000000001</v>
      </c>
      <c r="E397" s="40" t="s">
        <v>30</v>
      </c>
      <c r="F397" s="2">
        <v>0.1875</v>
      </c>
      <c r="G397" s="2">
        <v>0</v>
      </c>
      <c r="H397" s="40"/>
      <c r="I397" s="2"/>
      <c r="J397" s="2">
        <v>0</v>
      </c>
      <c r="K397" s="41"/>
      <c r="M397" s="3"/>
      <c r="N397" s="2">
        <v>0</v>
      </c>
      <c r="O397" s="2">
        <v>0</v>
      </c>
      <c r="P397" s="6">
        <v>0</v>
      </c>
      <c r="Q397" s="6">
        <v>0</v>
      </c>
      <c r="R397" s="2">
        <v>2.08333E-3</v>
      </c>
      <c r="T397" s="41">
        <v>5</v>
      </c>
      <c r="Y397" s="7"/>
      <c r="AA397" s="8"/>
      <c r="AB397" s="9"/>
      <c r="AE397" s="10"/>
      <c r="AF397" s="11"/>
      <c r="AG397"/>
    </row>
    <row r="398" spans="1:33" x14ac:dyDescent="0.2">
      <c r="A398" s="39" t="s">
        <v>249</v>
      </c>
      <c r="B398" s="5" t="s">
        <v>21</v>
      </c>
      <c r="C398" s="2">
        <v>3.3333299999999998E-3</v>
      </c>
      <c r="D398" s="3">
        <v>0.53333299999999995</v>
      </c>
      <c r="E398" s="40" t="s">
        <v>48</v>
      </c>
      <c r="F398" s="2">
        <v>0.1875</v>
      </c>
      <c r="G398" s="2">
        <v>0</v>
      </c>
      <c r="H398" s="40"/>
      <c r="I398" s="2"/>
      <c r="J398" s="2">
        <v>0</v>
      </c>
      <c r="K398" s="41"/>
      <c r="M398" s="3"/>
      <c r="N398" s="2">
        <v>0</v>
      </c>
      <c r="O398" s="2">
        <v>0</v>
      </c>
      <c r="P398" s="6">
        <v>0</v>
      </c>
      <c r="Q398" s="6">
        <v>0</v>
      </c>
      <c r="R398" s="2">
        <v>6.2500000000000001E-4</v>
      </c>
      <c r="T398" s="41">
        <v>5</v>
      </c>
      <c r="Y398" s="7"/>
      <c r="AA398" s="8"/>
      <c r="AB398" s="9"/>
      <c r="AE398" s="10"/>
      <c r="AF398" s="11"/>
      <c r="AG398"/>
    </row>
    <row r="399" spans="1:33" x14ac:dyDescent="0.2">
      <c r="A399" s="39" t="s">
        <v>250</v>
      </c>
      <c r="B399" s="5" t="s">
        <v>21</v>
      </c>
      <c r="C399" s="2">
        <v>0.02</v>
      </c>
      <c r="D399" s="3">
        <v>3.2</v>
      </c>
      <c r="E399" s="40" t="s">
        <v>46</v>
      </c>
      <c r="F399" s="2">
        <v>0.1875</v>
      </c>
      <c r="G399" s="2">
        <v>0</v>
      </c>
      <c r="H399" s="40"/>
      <c r="I399" s="2"/>
      <c r="J399" s="2">
        <v>0</v>
      </c>
      <c r="K399" s="41"/>
      <c r="M399" s="3"/>
      <c r="N399" s="2">
        <v>0</v>
      </c>
      <c r="O399" s="2">
        <v>0</v>
      </c>
      <c r="P399" s="6">
        <v>0</v>
      </c>
      <c r="Q399" s="6">
        <v>0</v>
      </c>
      <c r="R399" s="2">
        <v>3.7499999999999999E-3</v>
      </c>
      <c r="T399" s="41">
        <v>5</v>
      </c>
      <c r="Y399" s="7"/>
      <c r="AA399" s="8"/>
      <c r="AB399" s="9"/>
      <c r="AE399" s="10"/>
      <c r="AF399" s="11"/>
      <c r="AG399"/>
    </row>
    <row r="400" spans="1:33" x14ac:dyDescent="0.2">
      <c r="A400" s="39" t="s">
        <v>193</v>
      </c>
      <c r="B400" s="5" t="s">
        <v>21</v>
      </c>
      <c r="C400" s="2">
        <v>2.5000000000000001E-3</v>
      </c>
      <c r="D400" s="3">
        <v>0.4</v>
      </c>
      <c r="E400" s="40" t="s">
        <v>43</v>
      </c>
      <c r="F400" s="2">
        <v>0.1875</v>
      </c>
      <c r="G400" s="2">
        <v>0</v>
      </c>
      <c r="H400" s="40"/>
      <c r="I400" s="2"/>
      <c r="J400" s="2">
        <v>0</v>
      </c>
      <c r="K400" s="41"/>
      <c r="M400" s="3"/>
      <c r="N400" s="2">
        <v>0</v>
      </c>
      <c r="O400" s="2">
        <v>0</v>
      </c>
      <c r="P400" s="6">
        <v>0</v>
      </c>
      <c r="Q400" s="6">
        <v>0</v>
      </c>
      <c r="R400" s="2">
        <v>4.6874999999999998E-4</v>
      </c>
      <c r="T400" s="41">
        <v>5</v>
      </c>
      <c r="Y400" s="7"/>
      <c r="AA400" s="8"/>
      <c r="AB400" s="9"/>
      <c r="AE400" s="10"/>
      <c r="AF400" s="11"/>
      <c r="AG400"/>
    </row>
    <row r="401" spans="1:33" x14ac:dyDescent="0.2">
      <c r="A401" s="39" t="s">
        <v>251</v>
      </c>
      <c r="B401" s="5" t="s">
        <v>21</v>
      </c>
      <c r="C401" s="2">
        <v>2.5000000000000001E-3</v>
      </c>
      <c r="D401" s="3">
        <v>0.4</v>
      </c>
      <c r="E401" s="40" t="s">
        <v>43</v>
      </c>
      <c r="F401" s="2">
        <v>0.1875</v>
      </c>
      <c r="G401" s="2">
        <v>0</v>
      </c>
      <c r="H401" s="40"/>
      <c r="I401" s="2"/>
      <c r="J401" s="2">
        <v>0</v>
      </c>
      <c r="K401" s="41"/>
      <c r="M401" s="3"/>
      <c r="N401" s="2">
        <v>0</v>
      </c>
      <c r="O401" s="2">
        <v>0</v>
      </c>
      <c r="P401" s="6">
        <v>0</v>
      </c>
      <c r="Q401" s="6">
        <v>0</v>
      </c>
      <c r="R401" s="2">
        <v>4.6874999999999998E-4</v>
      </c>
      <c r="T401" s="41">
        <v>5</v>
      </c>
      <c r="Y401" s="7"/>
      <c r="AA401" s="8"/>
      <c r="AB401" s="9"/>
      <c r="AE401" s="10"/>
      <c r="AF401" s="11"/>
      <c r="AG401"/>
    </row>
    <row r="402" spans="1:33" x14ac:dyDescent="0.2">
      <c r="A402" s="39" t="s">
        <v>252</v>
      </c>
      <c r="B402" s="5" t="s">
        <v>21</v>
      </c>
      <c r="C402" s="2">
        <v>1.25E-3</v>
      </c>
      <c r="D402" s="3">
        <v>0.2</v>
      </c>
      <c r="E402" s="40" t="s">
        <v>30</v>
      </c>
      <c r="F402" s="2">
        <v>0.1875</v>
      </c>
      <c r="G402" s="2">
        <v>0</v>
      </c>
      <c r="H402" s="40"/>
      <c r="I402" s="2"/>
      <c r="J402" s="2">
        <v>0</v>
      </c>
      <c r="K402" s="41"/>
      <c r="M402" s="3"/>
      <c r="N402" s="2">
        <v>0</v>
      </c>
      <c r="O402" s="2">
        <v>0</v>
      </c>
      <c r="P402" s="6">
        <v>0</v>
      </c>
      <c r="Q402" s="6">
        <v>0</v>
      </c>
      <c r="R402" s="2">
        <v>2.3437999999999999E-4</v>
      </c>
      <c r="T402" s="41">
        <v>5</v>
      </c>
      <c r="Y402" s="7"/>
      <c r="AA402" s="8"/>
      <c r="AB402" s="9"/>
      <c r="AE402" s="10"/>
      <c r="AF402" s="11"/>
      <c r="AG402"/>
    </row>
    <row r="403" spans="1:33" x14ac:dyDescent="0.2">
      <c r="A403" s="39" t="s">
        <v>194</v>
      </c>
      <c r="B403" s="5" t="s">
        <v>21</v>
      </c>
      <c r="C403" s="2">
        <v>7.4999999999999997E-2</v>
      </c>
      <c r="D403" s="3">
        <v>12</v>
      </c>
      <c r="E403" s="40" t="s">
        <v>33</v>
      </c>
      <c r="F403" s="2">
        <v>0.16666666999999999</v>
      </c>
      <c r="G403" s="2">
        <v>0</v>
      </c>
      <c r="H403" s="40"/>
      <c r="I403" s="2"/>
      <c r="J403" s="2">
        <v>0</v>
      </c>
      <c r="K403" s="41"/>
      <c r="M403" s="3"/>
      <c r="N403" s="2">
        <v>0</v>
      </c>
      <c r="O403" s="2">
        <v>0</v>
      </c>
      <c r="P403" s="6">
        <v>0</v>
      </c>
      <c r="Q403" s="6">
        <v>0</v>
      </c>
      <c r="R403" s="2">
        <v>1.2500000000000001E-2</v>
      </c>
      <c r="T403" s="41">
        <v>5</v>
      </c>
      <c r="Y403" s="7"/>
      <c r="AA403" s="8"/>
      <c r="AB403" s="9"/>
      <c r="AE403" s="10"/>
      <c r="AF403" s="11"/>
      <c r="AG403"/>
    </row>
    <row r="404" spans="1:33" x14ac:dyDescent="0.2">
      <c r="A404" s="39" t="s">
        <v>253</v>
      </c>
      <c r="B404" s="5" t="s">
        <v>21</v>
      </c>
      <c r="C404" s="2">
        <v>1.25E-3</v>
      </c>
      <c r="D404" s="3">
        <v>0.2</v>
      </c>
      <c r="E404" s="40" t="s">
        <v>30</v>
      </c>
      <c r="F404" s="2">
        <v>0.1875</v>
      </c>
      <c r="G404" s="2">
        <v>0</v>
      </c>
      <c r="H404" s="40"/>
      <c r="I404" s="2"/>
      <c r="J404" s="2">
        <v>0</v>
      </c>
      <c r="K404" s="41"/>
      <c r="M404" s="3"/>
      <c r="N404" s="2">
        <v>0</v>
      </c>
      <c r="O404" s="2">
        <v>0</v>
      </c>
      <c r="P404" s="6">
        <v>0</v>
      </c>
      <c r="Q404" s="6">
        <v>0</v>
      </c>
      <c r="R404" s="2">
        <v>2.3437999999999999E-4</v>
      </c>
      <c r="T404" s="41">
        <v>5</v>
      </c>
      <c r="Y404" s="7"/>
      <c r="AA404" s="8"/>
      <c r="AB404" s="9"/>
      <c r="AE404" s="10"/>
      <c r="AF404" s="11"/>
      <c r="AG404"/>
    </row>
    <row r="405" spans="1:33" x14ac:dyDescent="0.2">
      <c r="A405" s="39" t="s">
        <v>254</v>
      </c>
      <c r="B405" s="5" t="s">
        <v>21</v>
      </c>
      <c r="C405" s="2">
        <v>3.3333330000000001E-2</v>
      </c>
      <c r="D405" s="3">
        <v>5.3333329999999997</v>
      </c>
      <c r="E405" s="40" t="s">
        <v>73</v>
      </c>
      <c r="F405" s="2">
        <v>0.15</v>
      </c>
      <c r="G405" s="2">
        <v>0</v>
      </c>
      <c r="H405" s="40"/>
      <c r="I405" s="2"/>
      <c r="J405" s="2">
        <v>0</v>
      </c>
      <c r="K405" s="41"/>
      <c r="M405" s="3"/>
      <c r="N405" s="2">
        <v>0</v>
      </c>
      <c r="O405" s="2">
        <v>0</v>
      </c>
      <c r="P405" s="6">
        <v>0</v>
      </c>
      <c r="Q405" s="6">
        <v>0</v>
      </c>
      <c r="R405" s="2">
        <v>5.0000000000000001E-3</v>
      </c>
      <c r="T405" s="41">
        <v>5</v>
      </c>
      <c r="Y405" s="7"/>
      <c r="AA405" s="8"/>
      <c r="AB405" s="9"/>
      <c r="AE405" s="10"/>
      <c r="AF405" s="11"/>
      <c r="AG405"/>
    </row>
    <row r="406" spans="1:33" x14ac:dyDescent="0.2">
      <c r="A406" s="39" t="s">
        <v>196</v>
      </c>
      <c r="B406" s="5" t="s">
        <v>21</v>
      </c>
      <c r="C406" s="2">
        <v>2.5000000000000001E-3</v>
      </c>
      <c r="D406" s="3">
        <v>0.4</v>
      </c>
      <c r="E406" s="40" t="s">
        <v>43</v>
      </c>
      <c r="F406" s="2">
        <v>0.1875</v>
      </c>
      <c r="G406" s="2">
        <v>0</v>
      </c>
      <c r="H406" s="40"/>
      <c r="I406" s="2"/>
      <c r="J406" s="2">
        <v>0</v>
      </c>
      <c r="K406" s="41"/>
      <c r="M406" s="3"/>
      <c r="N406" s="2">
        <v>0</v>
      </c>
      <c r="O406" s="2">
        <v>0</v>
      </c>
      <c r="P406" s="6">
        <v>0</v>
      </c>
      <c r="Q406" s="6">
        <v>0</v>
      </c>
      <c r="R406" s="2">
        <v>4.6874999999999998E-4</v>
      </c>
      <c r="T406" s="41">
        <v>5</v>
      </c>
      <c r="Y406" s="7"/>
      <c r="AA406" s="8"/>
      <c r="AB406" s="9"/>
      <c r="AE406" s="10"/>
      <c r="AF406" s="11"/>
      <c r="AG406"/>
    </row>
    <row r="407" spans="1:33" x14ac:dyDescent="0.2">
      <c r="A407" s="39" t="s">
        <v>197</v>
      </c>
      <c r="B407" s="5" t="s">
        <v>21</v>
      </c>
      <c r="C407" s="2">
        <v>3.3333330000000001E-2</v>
      </c>
      <c r="D407" s="3">
        <v>5.3333329999999997</v>
      </c>
      <c r="E407" s="40" t="s">
        <v>73</v>
      </c>
      <c r="F407" s="2">
        <v>0.15</v>
      </c>
      <c r="G407" s="2">
        <v>0</v>
      </c>
      <c r="H407" s="40"/>
      <c r="I407" s="2"/>
      <c r="J407" s="2">
        <v>0</v>
      </c>
      <c r="K407" s="41"/>
      <c r="M407" s="3"/>
      <c r="N407" s="2">
        <v>0</v>
      </c>
      <c r="O407" s="2">
        <v>0</v>
      </c>
      <c r="P407" s="6">
        <v>0</v>
      </c>
      <c r="Q407" s="6">
        <v>0</v>
      </c>
      <c r="R407" s="2">
        <v>5.0000000000000001E-3</v>
      </c>
      <c r="T407" s="41">
        <v>5</v>
      </c>
      <c r="Y407" s="7"/>
      <c r="AA407" s="8"/>
      <c r="AB407" s="9"/>
      <c r="AE407" s="10"/>
      <c r="AF407" s="11"/>
      <c r="AG407"/>
    </row>
    <row r="408" spans="1:33" x14ac:dyDescent="0.2">
      <c r="A408" s="39" t="s">
        <v>255</v>
      </c>
      <c r="B408" s="5" t="s">
        <v>21</v>
      </c>
      <c r="C408" s="2">
        <v>1.25E-3</v>
      </c>
      <c r="D408" s="3">
        <v>0.2</v>
      </c>
      <c r="E408" s="40" t="s">
        <v>30</v>
      </c>
      <c r="F408" s="2">
        <v>0.1875</v>
      </c>
      <c r="G408" s="2">
        <v>0</v>
      </c>
      <c r="H408" s="40"/>
      <c r="I408" s="2"/>
      <c r="J408" s="2">
        <v>0</v>
      </c>
      <c r="K408" s="41"/>
      <c r="M408" s="3"/>
      <c r="N408" s="2">
        <v>0</v>
      </c>
      <c r="O408" s="2">
        <v>0</v>
      </c>
      <c r="P408" s="6">
        <v>0</v>
      </c>
      <c r="Q408" s="6">
        <v>0</v>
      </c>
      <c r="R408" s="2">
        <v>2.3437999999999999E-4</v>
      </c>
      <c r="T408" s="41">
        <v>5</v>
      </c>
      <c r="Y408" s="7"/>
      <c r="AA408" s="8"/>
      <c r="AB408" s="9"/>
      <c r="AE408" s="10"/>
      <c r="AF408" s="11"/>
      <c r="AG408"/>
    </row>
    <row r="409" spans="1:33" x14ac:dyDescent="0.2">
      <c r="A409" s="39" t="s">
        <v>199</v>
      </c>
      <c r="B409" s="5" t="s">
        <v>21</v>
      </c>
      <c r="C409" s="2">
        <v>2.5000000000000001E-3</v>
      </c>
      <c r="D409" s="3">
        <v>0.4</v>
      </c>
      <c r="E409" s="40" t="s">
        <v>43</v>
      </c>
      <c r="F409" s="2">
        <v>0.1875</v>
      </c>
      <c r="G409" s="2">
        <v>0</v>
      </c>
      <c r="H409" s="40"/>
      <c r="I409" s="2"/>
      <c r="J409" s="2">
        <v>0</v>
      </c>
      <c r="K409" s="41"/>
      <c r="M409" s="3"/>
      <c r="N409" s="2">
        <v>0</v>
      </c>
      <c r="O409" s="2">
        <v>0</v>
      </c>
      <c r="P409" s="6">
        <v>0</v>
      </c>
      <c r="Q409" s="6">
        <v>0</v>
      </c>
      <c r="R409" s="2">
        <v>4.6874999999999998E-4</v>
      </c>
      <c r="T409" s="41">
        <v>5</v>
      </c>
      <c r="Y409" s="7"/>
      <c r="AA409" s="8"/>
      <c r="AB409" s="9"/>
      <c r="AE409" s="10"/>
      <c r="AF409" s="11"/>
      <c r="AG409"/>
    </row>
    <row r="410" spans="1:33" x14ac:dyDescent="0.2">
      <c r="A410" s="39" t="s">
        <v>200</v>
      </c>
      <c r="B410" s="5" t="s">
        <v>21</v>
      </c>
      <c r="C410" s="2">
        <v>2.5000000000000001E-3</v>
      </c>
      <c r="D410" s="3">
        <v>0.4</v>
      </c>
      <c r="E410" s="40" t="s">
        <v>43</v>
      </c>
      <c r="F410" s="2">
        <v>0.1875</v>
      </c>
      <c r="G410" s="2">
        <v>0</v>
      </c>
      <c r="H410" s="40"/>
      <c r="I410" s="2"/>
      <c r="J410" s="2">
        <v>0</v>
      </c>
      <c r="K410" s="41"/>
      <c r="M410" s="3"/>
      <c r="N410" s="2">
        <v>0</v>
      </c>
      <c r="O410" s="2">
        <v>0</v>
      </c>
      <c r="P410" s="6">
        <v>0</v>
      </c>
      <c r="Q410" s="6">
        <v>0</v>
      </c>
      <c r="R410" s="2">
        <v>4.6873999999999999E-4</v>
      </c>
      <c r="T410" s="41">
        <v>5</v>
      </c>
      <c r="Y410" s="7"/>
      <c r="AA410" s="8"/>
      <c r="AB410" s="9"/>
      <c r="AE410" s="10"/>
      <c r="AF410" s="11"/>
      <c r="AG410"/>
    </row>
    <row r="411" spans="1:33" x14ac:dyDescent="0.2">
      <c r="A411" s="39" t="s">
        <v>256</v>
      </c>
      <c r="B411" s="5" t="s">
        <v>21</v>
      </c>
      <c r="C411" s="2">
        <v>5.0875E-3</v>
      </c>
      <c r="D411" s="3">
        <v>0.81399999999999995</v>
      </c>
      <c r="E411" s="40" t="s">
        <v>30</v>
      </c>
      <c r="F411" s="2">
        <v>0.1875</v>
      </c>
      <c r="G411" s="2">
        <v>0</v>
      </c>
      <c r="H411" s="40"/>
      <c r="I411" s="2"/>
      <c r="J411" s="2">
        <v>0</v>
      </c>
      <c r="K411" s="41"/>
      <c r="M411" s="3"/>
      <c r="N411" s="2">
        <v>0</v>
      </c>
      <c r="O411" s="2">
        <v>0</v>
      </c>
      <c r="P411" s="6">
        <v>0</v>
      </c>
      <c r="Q411" s="6">
        <v>0</v>
      </c>
      <c r="R411" s="2">
        <v>9.5390999999999998E-4</v>
      </c>
      <c r="T411" s="41">
        <v>5</v>
      </c>
      <c r="Y411" s="7"/>
      <c r="AA411" s="8"/>
      <c r="AB411" s="9"/>
      <c r="AE411" s="10"/>
      <c r="AF411" s="11"/>
      <c r="AG411"/>
    </row>
    <row r="412" spans="1:33" x14ac:dyDescent="0.2">
      <c r="A412" s="39" t="s">
        <v>202</v>
      </c>
      <c r="B412" s="5" t="s">
        <v>21</v>
      </c>
      <c r="C412" s="2">
        <v>1.5791799999999999E-3</v>
      </c>
      <c r="D412" s="3">
        <v>0.25266899999999998</v>
      </c>
      <c r="E412" s="40" t="s">
        <v>30</v>
      </c>
      <c r="F412" s="2">
        <v>0.1875</v>
      </c>
      <c r="G412" s="2">
        <v>0</v>
      </c>
      <c r="H412" s="40"/>
      <c r="I412" s="2"/>
      <c r="J412" s="2">
        <v>0</v>
      </c>
      <c r="K412" s="41"/>
      <c r="M412" s="3"/>
      <c r="N412" s="2">
        <v>0</v>
      </c>
      <c r="O412" s="2">
        <v>0</v>
      </c>
      <c r="P412" s="6">
        <v>0</v>
      </c>
      <c r="Q412" s="6">
        <v>0</v>
      </c>
      <c r="R412" s="2">
        <v>2.9609999999999999E-4</v>
      </c>
      <c r="T412" s="41">
        <v>5</v>
      </c>
      <c r="Y412" s="7"/>
      <c r="AA412" s="8"/>
      <c r="AB412" s="9"/>
      <c r="AE412" s="10"/>
      <c r="AF412" s="11"/>
      <c r="AG412"/>
    </row>
    <row r="413" spans="1:33" x14ac:dyDescent="0.2">
      <c r="A413" s="39" t="s">
        <v>257</v>
      </c>
      <c r="B413" s="5" t="s">
        <v>21</v>
      </c>
      <c r="C413" s="2">
        <v>7.4999999999999997E-2</v>
      </c>
      <c r="D413" s="3">
        <v>12</v>
      </c>
      <c r="E413" s="40" t="s">
        <v>62</v>
      </c>
      <c r="F413" s="2">
        <v>0.16666666999999999</v>
      </c>
      <c r="G413" s="2">
        <v>0</v>
      </c>
      <c r="H413" s="40"/>
      <c r="I413" s="2"/>
      <c r="J413" s="2">
        <v>0</v>
      </c>
      <c r="K413" s="41"/>
      <c r="M413" s="3"/>
      <c r="N413" s="2">
        <v>0</v>
      </c>
      <c r="O413" s="2">
        <v>0</v>
      </c>
      <c r="P413" s="6">
        <v>0</v>
      </c>
      <c r="Q413" s="6">
        <v>0</v>
      </c>
      <c r="R413" s="2">
        <v>1.2500000000000001E-2</v>
      </c>
      <c r="T413" s="41">
        <v>5</v>
      </c>
      <c r="Y413" s="7"/>
      <c r="AA413" s="8"/>
      <c r="AB413" s="9"/>
      <c r="AE413" s="10"/>
      <c r="AF413" s="11"/>
      <c r="AG413"/>
    </row>
    <row r="414" spans="1:33" x14ac:dyDescent="0.2">
      <c r="A414" s="39" t="s">
        <v>206</v>
      </c>
      <c r="B414" s="5" t="s">
        <v>21</v>
      </c>
      <c r="C414" s="2">
        <v>1.6666670000000001E-2</v>
      </c>
      <c r="D414" s="3">
        <v>2.6666669999999999</v>
      </c>
      <c r="E414" s="40" t="s">
        <v>115</v>
      </c>
      <c r="F414" s="2">
        <v>0.2</v>
      </c>
      <c r="G414" s="2">
        <v>0</v>
      </c>
      <c r="H414" s="40"/>
      <c r="I414" s="2"/>
      <c r="J414" s="2">
        <v>0</v>
      </c>
      <c r="K414" s="41"/>
      <c r="M414" s="3"/>
      <c r="N414" s="2">
        <v>0</v>
      </c>
      <c r="O414" s="2">
        <v>0</v>
      </c>
      <c r="P414" s="6">
        <v>0</v>
      </c>
      <c r="Q414" s="6">
        <v>0</v>
      </c>
      <c r="R414" s="2">
        <v>3.3333299999999998E-3</v>
      </c>
      <c r="T414" s="41">
        <v>5</v>
      </c>
      <c r="Y414" s="7"/>
      <c r="AA414" s="8"/>
      <c r="AB414" s="9"/>
      <c r="AE414" s="10"/>
      <c r="AF414" s="11"/>
      <c r="AG414"/>
    </row>
    <row r="415" spans="1:33" ht="25.5" x14ac:dyDescent="0.2">
      <c r="A415" s="39" t="s">
        <v>258</v>
      </c>
      <c r="B415" s="5" t="s">
        <v>21</v>
      </c>
      <c r="C415" s="2">
        <v>1.111111E-2</v>
      </c>
      <c r="D415" s="3">
        <v>1.7777780000000001</v>
      </c>
      <c r="E415" s="40" t="s">
        <v>30</v>
      </c>
      <c r="F415" s="2">
        <v>0.1875</v>
      </c>
      <c r="G415" s="2">
        <v>0</v>
      </c>
      <c r="H415" s="40"/>
      <c r="I415" s="2"/>
      <c r="J415" s="2">
        <v>0</v>
      </c>
      <c r="K415" s="41"/>
      <c r="M415" s="3"/>
      <c r="N415" s="2">
        <v>0</v>
      </c>
      <c r="O415" s="2">
        <v>0</v>
      </c>
      <c r="P415" s="6">
        <v>0</v>
      </c>
      <c r="Q415" s="6">
        <v>0</v>
      </c>
      <c r="R415" s="2">
        <v>2.08333E-3</v>
      </c>
      <c r="T415" s="41">
        <v>5</v>
      </c>
      <c r="Y415" s="7"/>
      <c r="AA415" s="8"/>
      <c r="AB415" s="9"/>
      <c r="AE415" s="10"/>
      <c r="AF415" s="11"/>
      <c r="AG415"/>
    </row>
    <row r="416" spans="1:33" x14ac:dyDescent="0.2">
      <c r="A416" s="39" t="s">
        <v>259</v>
      </c>
      <c r="B416" s="5" t="s">
        <v>21</v>
      </c>
      <c r="C416" s="2">
        <v>1.6666670000000001E-2</v>
      </c>
      <c r="D416" s="3">
        <v>2.6666669999999999</v>
      </c>
      <c r="E416" s="40" t="s">
        <v>30</v>
      </c>
      <c r="F416" s="2">
        <v>0.1875</v>
      </c>
      <c r="G416" s="2">
        <v>0</v>
      </c>
      <c r="H416" s="40"/>
      <c r="I416" s="2"/>
      <c r="J416" s="2">
        <v>0</v>
      </c>
      <c r="K416" s="41"/>
      <c r="M416" s="3"/>
      <c r="N416" s="2">
        <v>0</v>
      </c>
      <c r="O416" s="2">
        <v>0</v>
      </c>
      <c r="P416" s="6">
        <v>0</v>
      </c>
      <c r="Q416" s="6">
        <v>0</v>
      </c>
      <c r="R416" s="2">
        <v>3.1250000000000002E-3</v>
      </c>
      <c r="T416" s="41">
        <v>5</v>
      </c>
      <c r="Y416" s="7"/>
      <c r="AA416" s="8"/>
      <c r="AB416" s="9"/>
      <c r="AE416" s="10"/>
      <c r="AF416" s="11"/>
      <c r="AG416"/>
    </row>
    <row r="417" spans="1:33" x14ac:dyDescent="0.2">
      <c r="A417" s="39" t="s">
        <v>260</v>
      </c>
      <c r="B417" s="5" t="s">
        <v>21</v>
      </c>
      <c r="C417" s="2">
        <v>3.3333299999999998E-3</v>
      </c>
      <c r="D417" s="3">
        <v>0.53333299999999995</v>
      </c>
      <c r="E417" s="40" t="s">
        <v>22</v>
      </c>
      <c r="F417" s="2">
        <v>0.1875</v>
      </c>
      <c r="G417" s="2">
        <v>0</v>
      </c>
      <c r="H417" s="40"/>
      <c r="I417" s="2"/>
      <c r="J417" s="2">
        <v>0</v>
      </c>
      <c r="K417" s="41"/>
      <c r="M417" s="3"/>
      <c r="N417" s="2">
        <v>0</v>
      </c>
      <c r="O417" s="2">
        <v>0</v>
      </c>
      <c r="P417" s="6">
        <v>0</v>
      </c>
      <c r="Q417" s="6">
        <v>0</v>
      </c>
      <c r="R417" s="2">
        <v>6.2500000000000001E-4</v>
      </c>
      <c r="T417" s="41">
        <v>5</v>
      </c>
      <c r="Y417" s="7"/>
      <c r="AA417" s="8"/>
      <c r="AB417" s="9"/>
      <c r="AE417" s="10"/>
      <c r="AF417" s="11"/>
      <c r="AG417"/>
    </row>
    <row r="418" spans="1:33" ht="38.25" x14ac:dyDescent="0.2">
      <c r="A418" s="39" t="s">
        <v>261</v>
      </c>
      <c r="B418" s="5" t="s">
        <v>21</v>
      </c>
      <c r="C418" s="2">
        <v>1.111111E-2</v>
      </c>
      <c r="D418" s="3">
        <v>1.7777769999999999</v>
      </c>
      <c r="E418" s="40" t="s">
        <v>30</v>
      </c>
      <c r="F418" s="2">
        <v>0.1875</v>
      </c>
      <c r="G418" s="2">
        <v>0</v>
      </c>
      <c r="H418" s="40"/>
      <c r="I418" s="2"/>
      <c r="J418" s="2">
        <v>0</v>
      </c>
      <c r="K418" s="41"/>
      <c r="M418" s="3"/>
      <c r="N418" s="2">
        <v>0</v>
      </c>
      <c r="O418" s="2">
        <v>0</v>
      </c>
      <c r="P418" s="6">
        <v>0</v>
      </c>
      <c r="Q418" s="6">
        <v>0</v>
      </c>
      <c r="R418" s="2">
        <v>2.08333E-3</v>
      </c>
      <c r="T418" s="41">
        <v>5</v>
      </c>
      <c r="Y418" s="7"/>
      <c r="AA418" s="8"/>
      <c r="AB418" s="9"/>
      <c r="AE418" s="10"/>
      <c r="AF418" s="11"/>
      <c r="AG418"/>
    </row>
    <row r="419" spans="1:33" x14ac:dyDescent="0.2">
      <c r="A419" s="39" t="s">
        <v>262</v>
      </c>
      <c r="B419" s="5" t="s">
        <v>21</v>
      </c>
      <c r="C419" s="2">
        <v>1.6666670000000001E-2</v>
      </c>
      <c r="D419" s="3">
        <v>2.6666669999999999</v>
      </c>
      <c r="E419" s="40" t="s">
        <v>30</v>
      </c>
      <c r="F419" s="2">
        <v>0.1875</v>
      </c>
      <c r="G419" s="2">
        <v>0</v>
      </c>
      <c r="H419" s="40"/>
      <c r="I419" s="2"/>
      <c r="J419" s="2">
        <v>0</v>
      </c>
      <c r="K419" s="41"/>
      <c r="M419" s="3"/>
      <c r="N419" s="2">
        <v>0</v>
      </c>
      <c r="O419" s="2">
        <v>0</v>
      </c>
      <c r="P419" s="6">
        <v>0</v>
      </c>
      <c r="Q419" s="6">
        <v>0</v>
      </c>
      <c r="R419" s="2">
        <v>3.1250000000000002E-3</v>
      </c>
      <c r="T419" s="41">
        <v>5</v>
      </c>
      <c r="Y419" s="7"/>
      <c r="AA419" s="8"/>
      <c r="AB419" s="9"/>
      <c r="AE419" s="10"/>
      <c r="AF419" s="11"/>
      <c r="AG419"/>
    </row>
    <row r="420" spans="1:33" x14ac:dyDescent="0.2">
      <c r="A420" s="39" t="s">
        <v>212</v>
      </c>
      <c r="B420" s="5" t="s">
        <v>21</v>
      </c>
      <c r="C420" s="2">
        <v>1.6666670000000001E-2</v>
      </c>
      <c r="D420" s="3">
        <v>2.6666669999999999</v>
      </c>
      <c r="E420" s="40" t="s">
        <v>115</v>
      </c>
      <c r="F420" s="2">
        <v>0.2</v>
      </c>
      <c r="G420" s="2">
        <v>0</v>
      </c>
      <c r="H420" s="40"/>
      <c r="I420" s="2"/>
      <c r="J420" s="2">
        <v>0</v>
      </c>
      <c r="K420" s="41"/>
      <c r="M420" s="3"/>
      <c r="N420" s="2">
        <v>0</v>
      </c>
      <c r="O420" s="2">
        <v>0</v>
      </c>
      <c r="P420" s="6">
        <v>0</v>
      </c>
      <c r="Q420" s="6">
        <v>0</v>
      </c>
      <c r="R420" s="2">
        <v>3.3333299999999998E-3</v>
      </c>
      <c r="T420" s="41">
        <v>5</v>
      </c>
      <c r="Y420" s="7"/>
      <c r="AA420" s="8"/>
      <c r="AB420" s="9"/>
      <c r="AE420" s="10"/>
      <c r="AF420" s="11"/>
      <c r="AG420"/>
    </row>
    <row r="421" spans="1:33" x14ac:dyDescent="0.2">
      <c r="A421" s="39" t="s">
        <v>263</v>
      </c>
      <c r="B421" s="5" t="s">
        <v>21</v>
      </c>
      <c r="C421" s="2">
        <v>3.3333299999999998E-3</v>
      </c>
      <c r="D421" s="3">
        <v>0.53333299999999995</v>
      </c>
      <c r="E421" s="40" t="s">
        <v>48</v>
      </c>
      <c r="F421" s="2">
        <v>0.1875</v>
      </c>
      <c r="G421" s="2">
        <v>0</v>
      </c>
      <c r="H421" s="40"/>
      <c r="I421" s="2"/>
      <c r="J421" s="2">
        <v>0</v>
      </c>
      <c r="K421" s="41"/>
      <c r="M421" s="3"/>
      <c r="N421" s="2">
        <v>0</v>
      </c>
      <c r="O421" s="2">
        <v>0</v>
      </c>
      <c r="P421" s="6">
        <v>0</v>
      </c>
      <c r="Q421" s="6">
        <v>0</v>
      </c>
      <c r="R421" s="2">
        <v>6.2500000000000001E-4</v>
      </c>
      <c r="T421" s="41">
        <v>5</v>
      </c>
      <c r="Y421" s="7"/>
      <c r="AA421" s="8"/>
      <c r="AB421" s="9"/>
      <c r="AE421" s="10"/>
      <c r="AF421" s="11"/>
      <c r="AG421"/>
    </row>
    <row r="422" spans="1:33" ht="25.5" x14ac:dyDescent="0.2">
      <c r="A422" s="39" t="s">
        <v>264</v>
      </c>
      <c r="B422" s="5" t="s">
        <v>21</v>
      </c>
      <c r="C422" s="2">
        <v>0.02</v>
      </c>
      <c r="D422" s="3">
        <v>3.2</v>
      </c>
      <c r="E422" s="40" t="s">
        <v>32</v>
      </c>
      <c r="F422" s="2">
        <v>0.1875</v>
      </c>
      <c r="G422" s="2">
        <v>0</v>
      </c>
      <c r="H422" s="40"/>
      <c r="I422" s="2"/>
      <c r="J422" s="2">
        <v>0</v>
      </c>
      <c r="K422" s="41"/>
      <c r="M422" s="3"/>
      <c r="N422" s="2">
        <v>0</v>
      </c>
      <c r="O422" s="2">
        <v>0</v>
      </c>
      <c r="P422" s="6">
        <v>0</v>
      </c>
      <c r="Q422" s="6">
        <v>0</v>
      </c>
      <c r="R422" s="2">
        <v>3.7499999999999999E-3</v>
      </c>
      <c r="T422" s="41">
        <v>5</v>
      </c>
      <c r="Y422" s="7"/>
      <c r="AA422" s="8"/>
      <c r="AB422" s="9"/>
      <c r="AE422" s="10"/>
      <c r="AF422" s="11"/>
      <c r="AG422"/>
    </row>
    <row r="423" spans="1:33" x14ac:dyDescent="0.2">
      <c r="A423" s="39" t="s">
        <v>265</v>
      </c>
      <c r="B423" s="5" t="s">
        <v>21</v>
      </c>
      <c r="C423" s="2">
        <v>5.0000000000000001E-3</v>
      </c>
      <c r="D423" s="3">
        <v>0.8</v>
      </c>
      <c r="E423" s="40" t="s">
        <v>30</v>
      </c>
      <c r="F423" s="2">
        <v>0.1875</v>
      </c>
      <c r="G423" s="2">
        <v>0</v>
      </c>
      <c r="H423" s="40"/>
      <c r="I423" s="2"/>
      <c r="J423" s="2">
        <v>0</v>
      </c>
      <c r="K423" s="41"/>
      <c r="M423" s="3"/>
      <c r="N423" s="2">
        <v>0</v>
      </c>
      <c r="O423" s="2">
        <v>0</v>
      </c>
      <c r="P423" s="6">
        <v>0</v>
      </c>
      <c r="Q423" s="6">
        <v>0</v>
      </c>
      <c r="R423" s="2">
        <v>9.3749999999999997E-4</v>
      </c>
      <c r="T423" s="41">
        <v>5</v>
      </c>
      <c r="Y423" s="7"/>
      <c r="AA423" s="8"/>
      <c r="AB423" s="9"/>
      <c r="AE423" s="10"/>
      <c r="AF423" s="11"/>
      <c r="AG423"/>
    </row>
    <row r="424" spans="1:33" ht="38.25" x14ac:dyDescent="0.2">
      <c r="A424" s="39" t="s">
        <v>266</v>
      </c>
      <c r="B424" s="5" t="s">
        <v>21</v>
      </c>
      <c r="C424" s="2">
        <v>0.3</v>
      </c>
      <c r="D424" s="3">
        <v>48</v>
      </c>
      <c r="E424" s="40" t="s">
        <v>72</v>
      </c>
      <c r="F424" s="2">
        <v>0.16666666999999999</v>
      </c>
      <c r="G424" s="2">
        <v>0</v>
      </c>
      <c r="H424" s="40"/>
      <c r="I424" s="2"/>
      <c r="J424" s="2">
        <v>0</v>
      </c>
      <c r="K424" s="41"/>
      <c r="M424" s="3"/>
      <c r="N424" s="2">
        <v>0</v>
      </c>
      <c r="O424" s="2">
        <v>0</v>
      </c>
      <c r="P424" s="6">
        <v>0</v>
      </c>
      <c r="Q424" s="6">
        <v>0</v>
      </c>
      <c r="R424" s="2">
        <v>0.05</v>
      </c>
      <c r="T424" s="41">
        <v>5</v>
      </c>
      <c r="Y424" s="7"/>
      <c r="AA424" s="8"/>
      <c r="AB424" s="9"/>
      <c r="AE424" s="10"/>
      <c r="AF424" s="11"/>
      <c r="AG424"/>
    </row>
    <row r="425" spans="1:33" x14ac:dyDescent="0.2">
      <c r="A425" s="39" t="s">
        <v>229</v>
      </c>
      <c r="B425" s="5" t="s">
        <v>21</v>
      </c>
      <c r="C425" s="2">
        <v>1.6666670000000001E-2</v>
      </c>
      <c r="D425" s="3">
        <v>2.6666669999999999</v>
      </c>
      <c r="E425" s="40" t="s">
        <v>73</v>
      </c>
      <c r="F425" s="2">
        <v>0.15</v>
      </c>
      <c r="G425" s="2">
        <v>0</v>
      </c>
      <c r="H425" s="40"/>
      <c r="I425" s="2"/>
      <c r="J425" s="2">
        <v>0</v>
      </c>
      <c r="K425" s="41"/>
      <c r="M425" s="3"/>
      <c r="N425" s="2">
        <v>0</v>
      </c>
      <c r="O425" s="2">
        <v>0</v>
      </c>
      <c r="P425" s="6">
        <v>0</v>
      </c>
      <c r="Q425" s="6">
        <v>0</v>
      </c>
      <c r="R425" s="2">
        <v>2.5000000000000001E-3</v>
      </c>
      <c r="T425" s="41">
        <v>5</v>
      </c>
      <c r="Y425" s="7"/>
      <c r="AA425" s="8"/>
      <c r="AB425" s="9"/>
      <c r="AE425" s="10"/>
      <c r="AF425" s="11"/>
      <c r="AG425"/>
    </row>
    <row r="426" spans="1:33" x14ac:dyDescent="0.2">
      <c r="A426" s="39" t="s">
        <v>267</v>
      </c>
      <c r="B426" s="5" t="s">
        <v>21</v>
      </c>
      <c r="C426" s="2">
        <v>7.4999999999999997E-2</v>
      </c>
      <c r="D426" s="3">
        <v>12</v>
      </c>
      <c r="E426" s="40" t="s">
        <v>160</v>
      </c>
      <c r="F426" s="2">
        <v>0.16666666999999999</v>
      </c>
      <c r="G426" s="2">
        <v>0</v>
      </c>
      <c r="H426" s="40"/>
      <c r="I426" s="2"/>
      <c r="J426" s="2">
        <v>0</v>
      </c>
      <c r="K426" s="41"/>
      <c r="M426" s="3"/>
      <c r="N426" s="2">
        <v>0</v>
      </c>
      <c r="O426" s="2">
        <v>0</v>
      </c>
      <c r="P426" s="6">
        <v>0</v>
      </c>
      <c r="Q426" s="6">
        <v>0</v>
      </c>
      <c r="R426" s="2">
        <v>1.2500000000000001E-2</v>
      </c>
      <c r="T426" s="41">
        <v>5</v>
      </c>
      <c r="Y426" s="7"/>
      <c r="AA426" s="8"/>
      <c r="AB426" s="9"/>
      <c r="AE426" s="10"/>
      <c r="AF426" s="11"/>
      <c r="AG426"/>
    </row>
    <row r="427" spans="1:33" x14ac:dyDescent="0.2">
      <c r="A427" s="39" t="s">
        <v>119</v>
      </c>
      <c r="B427" s="5" t="s">
        <v>13</v>
      </c>
      <c r="C427" s="2"/>
      <c r="D427" s="3"/>
      <c r="E427" s="40"/>
      <c r="F427" s="2"/>
      <c r="G427" s="2">
        <v>0</v>
      </c>
      <c r="H427" s="40"/>
      <c r="I427" s="2"/>
      <c r="J427" s="2">
        <v>0</v>
      </c>
      <c r="K427" s="41"/>
      <c r="M427" s="3">
        <v>0</v>
      </c>
      <c r="N427" s="2">
        <v>0</v>
      </c>
      <c r="O427" s="2">
        <v>0</v>
      </c>
      <c r="P427" s="6">
        <v>0</v>
      </c>
      <c r="Q427" s="6">
        <v>0</v>
      </c>
      <c r="R427" s="2">
        <v>0</v>
      </c>
      <c r="T427" s="41">
        <v>5</v>
      </c>
      <c r="Y427" s="7"/>
      <c r="AA427" s="8"/>
      <c r="AB427" s="9"/>
      <c r="AE427" s="10"/>
      <c r="AF427" s="11"/>
      <c r="AG427"/>
    </row>
    <row r="428" spans="1:33" x14ac:dyDescent="0.2">
      <c r="A428" s="39" t="s">
        <v>29</v>
      </c>
      <c r="B428" s="5" t="s">
        <v>15</v>
      </c>
      <c r="C428" s="2"/>
      <c r="D428" s="3"/>
      <c r="E428" s="40" t="s">
        <v>268</v>
      </c>
      <c r="F428" s="2"/>
      <c r="G428" s="2">
        <v>0</v>
      </c>
      <c r="H428" s="40"/>
      <c r="I428" s="2"/>
      <c r="J428" s="2">
        <v>0</v>
      </c>
      <c r="K428" s="41" t="s">
        <v>30</v>
      </c>
      <c r="L428" s="2">
        <v>0.52500000000000002</v>
      </c>
      <c r="M428" s="3">
        <v>84</v>
      </c>
      <c r="N428" s="2">
        <v>0</v>
      </c>
      <c r="O428" s="2">
        <v>0</v>
      </c>
      <c r="P428" s="6">
        <v>3.3333330000000001E-2</v>
      </c>
      <c r="Q428" s="6">
        <v>6.25E-2</v>
      </c>
      <c r="R428" s="2">
        <v>1.0937500000000001E-3</v>
      </c>
      <c r="T428" s="41">
        <v>5</v>
      </c>
      <c r="Y428" s="7"/>
      <c r="AA428" s="8"/>
      <c r="AB428" s="9"/>
      <c r="AE428" s="10"/>
      <c r="AF428" s="11"/>
      <c r="AG428"/>
    </row>
    <row r="429" spans="1:33" x14ac:dyDescent="0.2">
      <c r="A429" s="39" t="s">
        <v>29</v>
      </c>
      <c r="B429" s="5" t="s">
        <v>15</v>
      </c>
      <c r="C429" s="2"/>
      <c r="D429" s="3"/>
      <c r="E429" s="40" t="s">
        <v>73</v>
      </c>
      <c r="F429" s="2"/>
      <c r="G429" s="2">
        <v>0</v>
      </c>
      <c r="H429" s="40"/>
      <c r="I429" s="2"/>
      <c r="J429" s="2">
        <v>0</v>
      </c>
      <c r="K429" s="41" t="s">
        <v>30</v>
      </c>
      <c r="L429" s="2">
        <v>0.1</v>
      </c>
      <c r="M429" s="3">
        <v>16</v>
      </c>
      <c r="N429" s="2">
        <v>0</v>
      </c>
      <c r="O429" s="2">
        <v>0</v>
      </c>
      <c r="P429" s="6">
        <v>0.05</v>
      </c>
      <c r="Q429" s="6">
        <v>6.25E-2</v>
      </c>
      <c r="R429" s="2">
        <v>3.1250000000000001E-4</v>
      </c>
      <c r="T429" s="41">
        <v>5</v>
      </c>
      <c r="Y429" s="7"/>
      <c r="AA429" s="8"/>
      <c r="AB429" s="9"/>
      <c r="AE429" s="10"/>
      <c r="AF429" s="11"/>
      <c r="AG429"/>
    </row>
    <row r="430" spans="1:33" x14ac:dyDescent="0.2">
      <c r="A430" s="39" t="s">
        <v>36</v>
      </c>
      <c r="B430" s="5" t="s">
        <v>15</v>
      </c>
      <c r="C430" s="2"/>
      <c r="D430" s="3"/>
      <c r="E430" s="40" t="s">
        <v>268</v>
      </c>
      <c r="F430" s="2"/>
      <c r="G430" s="2">
        <v>0</v>
      </c>
      <c r="H430" s="40"/>
      <c r="I430" s="2"/>
      <c r="J430" s="2">
        <v>0</v>
      </c>
      <c r="K430" s="41" t="s">
        <v>141</v>
      </c>
      <c r="L430" s="2">
        <v>0.52500000000000002</v>
      </c>
      <c r="M430" s="3">
        <v>84</v>
      </c>
      <c r="N430" s="2">
        <v>0</v>
      </c>
      <c r="O430" s="2">
        <v>0</v>
      </c>
      <c r="P430" s="6">
        <v>3.3333330000000001E-2</v>
      </c>
      <c r="Q430" s="6">
        <v>2.7799999999999998E-2</v>
      </c>
      <c r="R430" s="2">
        <v>4.8650000000000001E-4</v>
      </c>
      <c r="T430" s="41">
        <v>5</v>
      </c>
      <c r="Y430" s="7"/>
      <c r="AA430" s="8"/>
      <c r="AB430" s="9"/>
      <c r="AE430" s="10"/>
      <c r="AF430" s="11"/>
      <c r="AG430"/>
    </row>
    <row r="431" spans="1:33" x14ac:dyDescent="0.2">
      <c r="A431" s="39" t="s">
        <v>36</v>
      </c>
      <c r="B431" s="5" t="s">
        <v>15</v>
      </c>
      <c r="C431" s="2"/>
      <c r="D431" s="3"/>
      <c r="E431" s="40" t="s">
        <v>73</v>
      </c>
      <c r="F431" s="2"/>
      <c r="G431" s="2">
        <v>0</v>
      </c>
      <c r="H431" s="40"/>
      <c r="I431" s="2"/>
      <c r="J431" s="2">
        <v>0</v>
      </c>
      <c r="K431" s="41" t="s">
        <v>141</v>
      </c>
      <c r="L431" s="2">
        <v>0.1</v>
      </c>
      <c r="M431" s="3">
        <v>16</v>
      </c>
      <c r="N431" s="2">
        <v>0</v>
      </c>
      <c r="O431" s="2">
        <v>0</v>
      </c>
      <c r="P431" s="6">
        <v>0.05</v>
      </c>
      <c r="Q431" s="6">
        <v>2.7799999999999998E-2</v>
      </c>
      <c r="R431" s="2">
        <v>1.3899999999999999E-4</v>
      </c>
      <c r="T431" s="41">
        <v>5</v>
      </c>
      <c r="Y431" s="7"/>
      <c r="AA431" s="8"/>
      <c r="AB431" s="9"/>
      <c r="AE431" s="10"/>
      <c r="AF431" s="11"/>
      <c r="AG431"/>
    </row>
    <row r="432" spans="1:33" x14ac:dyDescent="0.2">
      <c r="A432" s="39" t="s">
        <v>269</v>
      </c>
      <c r="B432" s="5" t="s">
        <v>15</v>
      </c>
      <c r="C432" s="2"/>
      <c r="D432" s="3"/>
      <c r="E432" s="40" t="s">
        <v>270</v>
      </c>
      <c r="F432" s="2"/>
      <c r="G432" s="2">
        <v>0</v>
      </c>
      <c r="H432" s="40"/>
      <c r="I432" s="2"/>
      <c r="J432" s="2">
        <v>0</v>
      </c>
      <c r="K432" s="41" t="s">
        <v>32</v>
      </c>
      <c r="L432" s="2">
        <v>0.375</v>
      </c>
      <c r="M432" s="3">
        <v>60</v>
      </c>
      <c r="N432" s="2">
        <v>0</v>
      </c>
      <c r="O432" s="2">
        <v>0</v>
      </c>
      <c r="P432" s="6">
        <v>3.3333330000000001E-2</v>
      </c>
      <c r="Q432" s="6">
        <v>1.5E-3</v>
      </c>
      <c r="R432" s="2">
        <v>1.8749999999999998E-5</v>
      </c>
      <c r="S432" s="4" t="s">
        <v>271</v>
      </c>
      <c r="T432" s="41">
        <v>5</v>
      </c>
      <c r="Y432" s="7"/>
      <c r="AA432" s="8"/>
      <c r="AB432" s="9"/>
      <c r="AE432" s="10"/>
      <c r="AF432" s="11"/>
      <c r="AG432"/>
    </row>
    <row r="433" spans="1:33" x14ac:dyDescent="0.2">
      <c r="A433" s="39" t="s">
        <v>272</v>
      </c>
      <c r="B433" s="5" t="s">
        <v>15</v>
      </c>
      <c r="C433" s="2"/>
      <c r="D433" s="3"/>
      <c r="E433" s="40" t="s">
        <v>109</v>
      </c>
      <c r="F433" s="2"/>
      <c r="G433" s="2">
        <v>0</v>
      </c>
      <c r="H433" s="40"/>
      <c r="I433" s="2"/>
      <c r="J433" s="2">
        <v>0</v>
      </c>
      <c r="K433" s="41" t="s">
        <v>273</v>
      </c>
      <c r="L433" s="2">
        <v>0.05</v>
      </c>
      <c r="M433" s="3">
        <v>8</v>
      </c>
      <c r="N433" s="2">
        <v>0</v>
      </c>
      <c r="O433" s="2">
        <v>0</v>
      </c>
      <c r="P433" s="6">
        <v>0.01</v>
      </c>
      <c r="Q433" s="6">
        <v>1</v>
      </c>
      <c r="R433" s="2">
        <v>5.0000000000000001E-4</v>
      </c>
      <c r="T433" s="41">
        <v>5</v>
      </c>
      <c r="Y433" s="7"/>
      <c r="AA433" s="8"/>
      <c r="AB433" s="9"/>
      <c r="AE433" s="10"/>
      <c r="AF433" s="11"/>
      <c r="AG433"/>
    </row>
    <row r="434" spans="1:33" x14ac:dyDescent="0.2">
      <c r="A434" s="39" t="s">
        <v>274</v>
      </c>
      <c r="B434" s="5" t="s">
        <v>15</v>
      </c>
      <c r="C434" s="2"/>
      <c r="D434" s="3"/>
      <c r="E434" s="40" t="s">
        <v>268</v>
      </c>
      <c r="F434" s="2"/>
      <c r="G434" s="2">
        <v>0</v>
      </c>
      <c r="H434" s="40"/>
      <c r="I434" s="2"/>
      <c r="J434" s="2">
        <v>0</v>
      </c>
      <c r="K434" s="41" t="s">
        <v>30</v>
      </c>
      <c r="L434" s="2">
        <v>0.52500000000000002</v>
      </c>
      <c r="M434" s="3">
        <v>84</v>
      </c>
      <c r="N434" s="2">
        <v>0</v>
      </c>
      <c r="O434" s="2">
        <v>0</v>
      </c>
      <c r="P434" s="6">
        <v>3.3333330000000001E-2</v>
      </c>
      <c r="Q434" s="6">
        <v>3.125E-2</v>
      </c>
      <c r="R434" s="2">
        <v>5.4686999999999997E-4</v>
      </c>
      <c r="T434" s="41">
        <v>5</v>
      </c>
      <c r="Y434" s="7"/>
      <c r="AA434" s="8"/>
      <c r="AB434" s="9"/>
      <c r="AE434" s="10"/>
      <c r="AF434" s="11"/>
      <c r="AG434"/>
    </row>
    <row r="435" spans="1:33" x14ac:dyDescent="0.2">
      <c r="A435" s="39" t="s">
        <v>274</v>
      </c>
      <c r="B435" s="5" t="s">
        <v>15</v>
      </c>
      <c r="C435" s="2"/>
      <c r="D435" s="3"/>
      <c r="E435" s="40" t="s">
        <v>73</v>
      </c>
      <c r="F435" s="2"/>
      <c r="G435" s="2">
        <v>0</v>
      </c>
      <c r="H435" s="40"/>
      <c r="I435" s="2"/>
      <c r="J435" s="2">
        <v>0</v>
      </c>
      <c r="K435" s="41" t="s">
        <v>30</v>
      </c>
      <c r="L435" s="2">
        <v>0.1</v>
      </c>
      <c r="M435" s="3">
        <v>16</v>
      </c>
      <c r="N435" s="2">
        <v>0</v>
      </c>
      <c r="O435" s="2">
        <v>0</v>
      </c>
      <c r="P435" s="6">
        <v>0.05</v>
      </c>
      <c r="Q435" s="6">
        <v>3.125E-2</v>
      </c>
      <c r="R435" s="2">
        <v>1.5625E-4</v>
      </c>
      <c r="T435" s="41">
        <v>5</v>
      </c>
      <c r="Y435" s="7"/>
      <c r="AA435" s="8"/>
      <c r="AB435" s="9"/>
      <c r="AE435" s="10"/>
      <c r="AF435" s="11"/>
      <c r="AG435"/>
    </row>
    <row r="436" spans="1:33" x14ac:dyDescent="0.2">
      <c r="A436" s="39" t="s">
        <v>275</v>
      </c>
      <c r="B436" s="5" t="s">
        <v>15</v>
      </c>
      <c r="C436" s="2"/>
      <c r="D436" s="3"/>
      <c r="E436" s="40" t="s">
        <v>270</v>
      </c>
      <c r="F436" s="2"/>
      <c r="G436" s="2">
        <v>0</v>
      </c>
      <c r="H436" s="40"/>
      <c r="I436" s="2"/>
      <c r="J436" s="2">
        <v>0</v>
      </c>
      <c r="K436" s="41" t="s">
        <v>276</v>
      </c>
      <c r="L436" s="2">
        <v>0.375</v>
      </c>
      <c r="M436" s="3">
        <v>60</v>
      </c>
      <c r="N436" s="2">
        <v>0</v>
      </c>
      <c r="O436" s="2">
        <v>0</v>
      </c>
      <c r="P436" s="6">
        <v>3.3333330000000001E-2</v>
      </c>
      <c r="Q436" s="6">
        <v>0.05</v>
      </c>
      <c r="R436" s="2">
        <v>6.2500000000000001E-4</v>
      </c>
      <c r="S436" s="4" t="s">
        <v>151</v>
      </c>
      <c r="T436" s="41">
        <v>5</v>
      </c>
      <c r="Y436" s="7"/>
      <c r="AA436" s="8"/>
      <c r="AB436" s="9"/>
      <c r="AE436" s="10"/>
      <c r="AF436" s="11"/>
      <c r="AG436"/>
    </row>
    <row r="437" spans="1:33" x14ac:dyDescent="0.2">
      <c r="A437" s="39" t="s">
        <v>69</v>
      </c>
      <c r="B437" s="5" t="s">
        <v>15</v>
      </c>
      <c r="C437" s="2"/>
      <c r="D437" s="3"/>
      <c r="E437" s="40" t="s">
        <v>268</v>
      </c>
      <c r="F437" s="2"/>
      <c r="G437" s="2">
        <v>0</v>
      </c>
      <c r="H437" s="40"/>
      <c r="I437" s="2"/>
      <c r="J437" s="2">
        <v>0</v>
      </c>
      <c r="K437" s="41" t="s">
        <v>31</v>
      </c>
      <c r="L437" s="2">
        <v>0.52500000000000002</v>
      </c>
      <c r="M437" s="3">
        <v>84</v>
      </c>
      <c r="N437" s="2">
        <v>0</v>
      </c>
      <c r="O437" s="2">
        <v>0</v>
      </c>
      <c r="P437" s="6">
        <v>3.3333330000000001E-2</v>
      </c>
      <c r="Q437" s="6">
        <v>0.38884999999999997</v>
      </c>
      <c r="R437" s="2">
        <v>6.8048700000000002E-3</v>
      </c>
      <c r="T437" s="41">
        <v>5</v>
      </c>
      <c r="Y437" s="7"/>
      <c r="AA437" s="8"/>
      <c r="AB437" s="9"/>
      <c r="AE437" s="10"/>
      <c r="AF437" s="11"/>
      <c r="AG437"/>
    </row>
    <row r="438" spans="1:33" x14ac:dyDescent="0.2">
      <c r="A438" s="39" t="s">
        <v>69</v>
      </c>
      <c r="B438" s="5" t="s">
        <v>15</v>
      </c>
      <c r="C438" s="2"/>
      <c r="D438" s="3"/>
      <c r="E438" s="40" t="s">
        <v>73</v>
      </c>
      <c r="F438" s="2"/>
      <c r="G438" s="2">
        <v>0</v>
      </c>
      <c r="H438" s="40"/>
      <c r="I438" s="2"/>
      <c r="J438" s="2">
        <v>0</v>
      </c>
      <c r="K438" s="41" t="s">
        <v>31</v>
      </c>
      <c r="L438" s="2">
        <v>0.1</v>
      </c>
      <c r="M438" s="3">
        <v>16</v>
      </c>
      <c r="N438" s="2">
        <v>0</v>
      </c>
      <c r="O438" s="2">
        <v>0</v>
      </c>
      <c r="P438" s="6">
        <v>0.05</v>
      </c>
      <c r="Q438" s="6">
        <v>0.38884999999999997</v>
      </c>
      <c r="R438" s="2">
        <v>1.94425E-3</v>
      </c>
      <c r="T438" s="41">
        <v>5</v>
      </c>
      <c r="Y438" s="7"/>
      <c r="AA438" s="8"/>
      <c r="AB438" s="9"/>
      <c r="AE438" s="10"/>
      <c r="AF438" s="11"/>
      <c r="AG438"/>
    </row>
    <row r="439" spans="1:33" x14ac:dyDescent="0.2">
      <c r="A439" s="39" t="s">
        <v>277</v>
      </c>
      <c r="B439" s="5" t="s">
        <v>15</v>
      </c>
      <c r="C439" s="2"/>
      <c r="D439" s="3"/>
      <c r="E439" s="40" t="s">
        <v>270</v>
      </c>
      <c r="F439" s="2"/>
      <c r="G439" s="2">
        <v>0</v>
      </c>
      <c r="H439" s="40"/>
      <c r="I439" s="2"/>
      <c r="J439" s="2">
        <v>0</v>
      </c>
      <c r="K439" s="41" t="s">
        <v>278</v>
      </c>
      <c r="L439" s="2">
        <v>0.375</v>
      </c>
      <c r="M439" s="3">
        <v>60</v>
      </c>
      <c r="N439" s="2">
        <v>0</v>
      </c>
      <c r="O439" s="2">
        <v>0</v>
      </c>
      <c r="P439" s="6">
        <v>3.3333330000000001E-2</v>
      </c>
      <c r="Q439" s="6">
        <v>0.14850000999999999</v>
      </c>
      <c r="R439" s="2">
        <v>1.85625E-3</v>
      </c>
      <c r="S439" s="4" t="s">
        <v>271</v>
      </c>
      <c r="T439" s="41">
        <v>5</v>
      </c>
      <c r="Y439" s="7"/>
      <c r="AA439" s="8"/>
      <c r="AB439" s="9"/>
      <c r="AE439" s="10"/>
      <c r="AF439" s="11"/>
      <c r="AG439"/>
    </row>
    <row r="440" spans="1:33" x14ac:dyDescent="0.2">
      <c r="A440" s="39" t="s">
        <v>279</v>
      </c>
      <c r="B440" s="5" t="s">
        <v>15</v>
      </c>
      <c r="C440" s="2"/>
      <c r="D440" s="3"/>
      <c r="E440" s="40" t="s">
        <v>268</v>
      </c>
      <c r="F440" s="2"/>
      <c r="G440" s="2">
        <v>0</v>
      </c>
      <c r="H440" s="40"/>
      <c r="I440" s="2"/>
      <c r="J440" s="2">
        <v>0</v>
      </c>
      <c r="K440" s="41" t="s">
        <v>30</v>
      </c>
      <c r="L440" s="2">
        <v>0.52500000000000002</v>
      </c>
      <c r="M440" s="3">
        <v>84</v>
      </c>
      <c r="N440" s="2">
        <v>0</v>
      </c>
      <c r="O440" s="2">
        <v>0</v>
      </c>
      <c r="P440" s="6">
        <v>3.3333330000000001E-2</v>
      </c>
      <c r="Q440" s="6">
        <v>0.125</v>
      </c>
      <c r="R440" s="2">
        <v>2.1875000000000002E-3</v>
      </c>
      <c r="T440" s="41">
        <v>5</v>
      </c>
      <c r="Y440" s="7"/>
      <c r="AA440" s="8"/>
      <c r="AB440" s="9"/>
      <c r="AE440" s="10"/>
      <c r="AF440" s="11"/>
      <c r="AG440"/>
    </row>
    <row r="441" spans="1:33" x14ac:dyDescent="0.2">
      <c r="A441" s="39" t="s">
        <v>279</v>
      </c>
      <c r="B441" s="5" t="s">
        <v>15</v>
      </c>
      <c r="C441" s="2"/>
      <c r="D441" s="3"/>
      <c r="E441" s="40" t="s">
        <v>73</v>
      </c>
      <c r="F441" s="2"/>
      <c r="G441" s="2">
        <v>0</v>
      </c>
      <c r="H441" s="40"/>
      <c r="I441" s="2"/>
      <c r="J441" s="2">
        <v>0</v>
      </c>
      <c r="K441" s="41" t="s">
        <v>30</v>
      </c>
      <c r="L441" s="2">
        <v>0.1</v>
      </c>
      <c r="M441" s="3">
        <v>16</v>
      </c>
      <c r="N441" s="2">
        <v>0</v>
      </c>
      <c r="O441" s="2">
        <v>0</v>
      </c>
      <c r="P441" s="6">
        <v>0.05</v>
      </c>
      <c r="Q441" s="6">
        <v>0.125</v>
      </c>
      <c r="R441" s="2">
        <v>6.2500000000000001E-4</v>
      </c>
      <c r="T441" s="41">
        <v>5</v>
      </c>
      <c r="Y441" s="7"/>
      <c r="AA441" s="8"/>
      <c r="AB441" s="9"/>
      <c r="AE441" s="10"/>
      <c r="AF441" s="11"/>
      <c r="AG441"/>
    </row>
    <row r="442" spans="1:33" x14ac:dyDescent="0.2">
      <c r="A442" s="39" t="s">
        <v>280</v>
      </c>
      <c r="B442" s="5" t="s">
        <v>15</v>
      </c>
      <c r="C442" s="2"/>
      <c r="D442" s="3"/>
      <c r="E442" s="40" t="s">
        <v>281</v>
      </c>
      <c r="F442" s="2"/>
      <c r="G442" s="2">
        <v>0</v>
      </c>
      <c r="H442" s="40"/>
      <c r="I442" s="2"/>
      <c r="J442" s="2">
        <v>0</v>
      </c>
      <c r="K442" s="41" t="s">
        <v>147</v>
      </c>
      <c r="L442" s="2">
        <v>7.8125E-2</v>
      </c>
      <c r="M442" s="3">
        <v>12.5</v>
      </c>
      <c r="N442" s="2">
        <v>0</v>
      </c>
      <c r="O442" s="2">
        <v>0</v>
      </c>
      <c r="P442" s="6">
        <v>1.4999999999999999E-2</v>
      </c>
      <c r="Q442" s="6">
        <v>1</v>
      </c>
      <c r="R442" s="2">
        <v>1.1718799999999999E-3</v>
      </c>
      <c r="T442" s="41">
        <v>5</v>
      </c>
      <c r="Y442" s="7"/>
      <c r="AA442" s="8"/>
      <c r="AB442" s="9"/>
      <c r="AE442" s="10"/>
      <c r="AF442" s="11"/>
      <c r="AG442"/>
    </row>
    <row r="443" spans="1:33" x14ac:dyDescent="0.2">
      <c r="A443" s="39" t="s">
        <v>282</v>
      </c>
      <c r="B443" s="5" t="s">
        <v>15</v>
      </c>
      <c r="C443" s="2"/>
      <c r="D443" s="3"/>
      <c r="E443" s="40" t="s">
        <v>270</v>
      </c>
      <c r="F443" s="2"/>
      <c r="G443" s="2">
        <v>0</v>
      </c>
      <c r="H443" s="40"/>
      <c r="I443" s="2"/>
      <c r="J443" s="2">
        <v>0</v>
      </c>
      <c r="K443" s="41" t="s">
        <v>278</v>
      </c>
      <c r="L443" s="2">
        <v>0.375</v>
      </c>
      <c r="M443" s="3">
        <v>60</v>
      </c>
      <c r="N443" s="2">
        <v>0</v>
      </c>
      <c r="O443" s="2">
        <v>0</v>
      </c>
      <c r="P443" s="6">
        <v>3.3333330000000001E-2</v>
      </c>
      <c r="Q443" s="6">
        <v>0.5</v>
      </c>
      <c r="R443" s="2">
        <v>6.2500000000000003E-3</v>
      </c>
      <c r="S443" s="4" t="s">
        <v>151</v>
      </c>
      <c r="T443" s="41">
        <v>5</v>
      </c>
      <c r="Y443" s="7"/>
      <c r="AA443" s="8"/>
      <c r="AB443" s="9"/>
      <c r="AE443" s="10"/>
      <c r="AF443" s="11"/>
      <c r="AG443"/>
    </row>
    <row r="444" spans="1:33" x14ac:dyDescent="0.2">
      <c r="A444" s="39" t="s">
        <v>283</v>
      </c>
      <c r="B444" s="5" t="s">
        <v>15</v>
      </c>
      <c r="C444" s="2"/>
      <c r="D444" s="3"/>
      <c r="E444" s="40" t="s">
        <v>270</v>
      </c>
      <c r="F444" s="2"/>
      <c r="G444" s="2">
        <v>0</v>
      </c>
      <c r="H444" s="40"/>
      <c r="I444" s="2"/>
      <c r="J444" s="2">
        <v>0</v>
      </c>
      <c r="K444" s="41" t="s">
        <v>276</v>
      </c>
      <c r="L444" s="2">
        <v>0.375</v>
      </c>
      <c r="M444" s="3">
        <v>60</v>
      </c>
      <c r="N444" s="2">
        <v>0</v>
      </c>
      <c r="O444" s="2">
        <v>0</v>
      </c>
      <c r="P444" s="6">
        <v>3.3333330000000001E-2</v>
      </c>
      <c r="Q444" s="6">
        <v>0.15</v>
      </c>
      <c r="R444" s="2">
        <v>1.8749999999999999E-3</v>
      </c>
      <c r="S444" s="4" t="s">
        <v>151</v>
      </c>
      <c r="T444" s="41">
        <v>5</v>
      </c>
      <c r="Y444" s="7"/>
      <c r="AA444" s="8"/>
      <c r="AB444" s="9"/>
      <c r="AE444" s="10"/>
      <c r="AF444" s="11"/>
      <c r="AG444"/>
    </row>
    <row r="445" spans="1:33" x14ac:dyDescent="0.2">
      <c r="A445" s="39" t="s">
        <v>284</v>
      </c>
      <c r="B445" s="5" t="s">
        <v>15</v>
      </c>
      <c r="C445" s="2"/>
      <c r="D445" s="3"/>
      <c r="E445" s="40" t="s">
        <v>268</v>
      </c>
      <c r="F445" s="2"/>
      <c r="G445" s="2">
        <v>0</v>
      </c>
      <c r="H445" s="40"/>
      <c r="I445" s="2"/>
      <c r="J445" s="2">
        <v>0</v>
      </c>
      <c r="K445" s="41" t="s">
        <v>30</v>
      </c>
      <c r="L445" s="2">
        <v>0.52500000000000002</v>
      </c>
      <c r="M445" s="3">
        <v>84</v>
      </c>
      <c r="N445" s="2">
        <v>0</v>
      </c>
      <c r="O445" s="2">
        <v>0</v>
      </c>
      <c r="P445" s="6">
        <v>3.3333330000000001E-2</v>
      </c>
      <c r="Q445" s="6">
        <v>3.125E-2</v>
      </c>
      <c r="R445" s="2">
        <v>5.4686999999999997E-4</v>
      </c>
      <c r="T445" s="41">
        <v>5</v>
      </c>
      <c r="Y445" s="7"/>
      <c r="AA445" s="8"/>
      <c r="AB445" s="9"/>
      <c r="AE445" s="10"/>
      <c r="AF445" s="11"/>
      <c r="AG445"/>
    </row>
    <row r="446" spans="1:33" x14ac:dyDescent="0.2">
      <c r="A446" s="39" t="s">
        <v>284</v>
      </c>
      <c r="B446" s="5" t="s">
        <v>15</v>
      </c>
      <c r="C446" s="2"/>
      <c r="D446" s="3"/>
      <c r="E446" s="40" t="s">
        <v>73</v>
      </c>
      <c r="F446" s="2"/>
      <c r="G446" s="2">
        <v>0</v>
      </c>
      <c r="H446" s="40"/>
      <c r="I446" s="2"/>
      <c r="J446" s="2">
        <v>0</v>
      </c>
      <c r="K446" s="41" t="s">
        <v>30</v>
      </c>
      <c r="L446" s="2">
        <v>0.1</v>
      </c>
      <c r="M446" s="3">
        <v>16</v>
      </c>
      <c r="N446" s="2">
        <v>0</v>
      </c>
      <c r="O446" s="2">
        <v>0</v>
      </c>
      <c r="P446" s="6">
        <v>0.05</v>
      </c>
      <c r="Q446" s="6">
        <v>3.125E-2</v>
      </c>
      <c r="R446" s="2">
        <v>1.5625E-4</v>
      </c>
      <c r="T446" s="41">
        <v>5</v>
      </c>
      <c r="Y446" s="7"/>
      <c r="AA446" s="8"/>
      <c r="AB446" s="9"/>
      <c r="AE446" s="10"/>
      <c r="AF446" s="11"/>
      <c r="AG446"/>
    </row>
    <row r="447" spans="1:33" x14ac:dyDescent="0.2">
      <c r="A447" s="39" t="s">
        <v>285</v>
      </c>
      <c r="B447" s="5" t="s">
        <v>15</v>
      </c>
      <c r="C447" s="2"/>
      <c r="D447" s="3"/>
      <c r="E447" s="40" t="s">
        <v>286</v>
      </c>
      <c r="F447" s="2"/>
      <c r="G447" s="2">
        <v>0</v>
      </c>
      <c r="H447" s="40"/>
      <c r="I447" s="2"/>
      <c r="J447" s="2">
        <v>0</v>
      </c>
      <c r="K447" s="41" t="s">
        <v>58</v>
      </c>
      <c r="L447" s="2">
        <v>0.32500000000000001</v>
      </c>
      <c r="M447" s="3">
        <v>52</v>
      </c>
      <c r="N447" s="2">
        <v>0</v>
      </c>
      <c r="O447" s="2">
        <v>0</v>
      </c>
      <c r="P447" s="6">
        <v>0.01</v>
      </c>
      <c r="Q447" s="6">
        <v>1</v>
      </c>
      <c r="R447" s="2">
        <v>3.2499999999999999E-3</v>
      </c>
      <c r="T447" s="41">
        <v>5</v>
      </c>
      <c r="Y447" s="7"/>
      <c r="AA447" s="8"/>
      <c r="AB447" s="9"/>
      <c r="AE447" s="10"/>
      <c r="AF447" s="11"/>
      <c r="AG447"/>
    </row>
    <row r="448" spans="1:33" x14ac:dyDescent="0.2">
      <c r="A448" s="39" t="s">
        <v>287</v>
      </c>
      <c r="B448" s="5" t="s">
        <v>15</v>
      </c>
      <c r="C448" s="2"/>
      <c r="D448" s="3"/>
      <c r="E448" s="40" t="s">
        <v>268</v>
      </c>
      <c r="F448" s="2"/>
      <c r="G448" s="2">
        <v>0</v>
      </c>
      <c r="H448" s="40"/>
      <c r="I448" s="2"/>
      <c r="J448" s="2">
        <v>0</v>
      </c>
      <c r="K448" s="41" t="s">
        <v>30</v>
      </c>
      <c r="L448" s="2">
        <v>0.52500000000000002</v>
      </c>
      <c r="M448" s="3">
        <v>84</v>
      </c>
      <c r="N448" s="2">
        <v>0</v>
      </c>
      <c r="O448" s="2">
        <v>0</v>
      </c>
      <c r="P448" s="6">
        <v>3.3333330000000001E-2</v>
      </c>
      <c r="Q448" s="6">
        <v>6.25E-2</v>
      </c>
      <c r="R448" s="2">
        <v>1.0937500000000001E-3</v>
      </c>
      <c r="T448" s="41">
        <v>5</v>
      </c>
      <c r="Y448" s="7"/>
      <c r="AA448" s="8"/>
      <c r="AB448" s="9"/>
      <c r="AE448" s="10"/>
      <c r="AF448" s="11"/>
      <c r="AG448"/>
    </row>
    <row r="449" spans="1:33" x14ac:dyDescent="0.2">
      <c r="A449" s="39" t="s">
        <v>287</v>
      </c>
      <c r="B449" s="5" t="s">
        <v>15</v>
      </c>
      <c r="C449" s="2"/>
      <c r="D449" s="3"/>
      <c r="E449" s="40" t="s">
        <v>73</v>
      </c>
      <c r="F449" s="2"/>
      <c r="G449" s="2">
        <v>0</v>
      </c>
      <c r="H449" s="40"/>
      <c r="I449" s="2"/>
      <c r="J449" s="2">
        <v>0</v>
      </c>
      <c r="K449" s="41" t="s">
        <v>30</v>
      </c>
      <c r="L449" s="2">
        <v>0.1</v>
      </c>
      <c r="M449" s="3">
        <v>16</v>
      </c>
      <c r="N449" s="2">
        <v>0</v>
      </c>
      <c r="O449" s="2">
        <v>0</v>
      </c>
      <c r="P449" s="6">
        <v>0.05</v>
      </c>
      <c r="Q449" s="6">
        <v>6.25E-2</v>
      </c>
      <c r="R449" s="2">
        <v>3.1250000000000001E-4</v>
      </c>
      <c r="T449" s="41">
        <v>5</v>
      </c>
      <c r="Y449" s="7"/>
      <c r="AA449" s="8"/>
      <c r="AB449" s="9"/>
      <c r="AE449" s="10"/>
      <c r="AF449" s="11"/>
      <c r="AG449"/>
    </row>
    <row r="450" spans="1:33" x14ac:dyDescent="0.2">
      <c r="A450" s="39" t="s">
        <v>288</v>
      </c>
      <c r="B450" s="5" t="s">
        <v>15</v>
      </c>
      <c r="C450" s="2"/>
      <c r="D450" s="3"/>
      <c r="E450" s="40" t="s">
        <v>268</v>
      </c>
      <c r="F450" s="2"/>
      <c r="G450" s="2">
        <v>0</v>
      </c>
      <c r="H450" s="40"/>
      <c r="I450" s="2"/>
      <c r="J450" s="2">
        <v>0</v>
      </c>
      <c r="K450" s="41" t="s">
        <v>30</v>
      </c>
      <c r="L450" s="2">
        <v>0.52500000000000002</v>
      </c>
      <c r="M450" s="3">
        <v>84</v>
      </c>
      <c r="N450" s="2">
        <v>0</v>
      </c>
      <c r="O450" s="2">
        <v>0</v>
      </c>
      <c r="P450" s="6">
        <v>3.3333330000000001E-2</v>
      </c>
      <c r="Q450" s="6">
        <v>0.125</v>
      </c>
      <c r="R450" s="2">
        <v>2.1875000000000002E-3</v>
      </c>
      <c r="T450" s="41">
        <v>5</v>
      </c>
      <c r="Y450" s="7"/>
      <c r="AA450" s="8"/>
      <c r="AB450" s="9"/>
      <c r="AE450" s="10"/>
      <c r="AF450" s="11"/>
      <c r="AG450"/>
    </row>
    <row r="451" spans="1:33" x14ac:dyDescent="0.2">
      <c r="A451" s="39" t="s">
        <v>288</v>
      </c>
      <c r="B451" s="5" t="s">
        <v>15</v>
      </c>
      <c r="C451" s="2"/>
      <c r="D451" s="3"/>
      <c r="E451" s="40" t="s">
        <v>73</v>
      </c>
      <c r="F451" s="2"/>
      <c r="G451" s="2">
        <v>0</v>
      </c>
      <c r="H451" s="40"/>
      <c r="I451" s="2"/>
      <c r="J451" s="2">
        <v>0</v>
      </c>
      <c r="K451" s="41" t="s">
        <v>30</v>
      </c>
      <c r="L451" s="2">
        <v>0.1</v>
      </c>
      <c r="M451" s="3">
        <v>16</v>
      </c>
      <c r="N451" s="2">
        <v>0</v>
      </c>
      <c r="O451" s="2">
        <v>0</v>
      </c>
      <c r="P451" s="6">
        <v>0.05</v>
      </c>
      <c r="Q451" s="6">
        <v>0.125</v>
      </c>
      <c r="R451" s="2">
        <v>6.2500000000000001E-4</v>
      </c>
      <c r="T451" s="41">
        <v>5</v>
      </c>
      <c r="Y451" s="7"/>
      <c r="AA451" s="8"/>
      <c r="AB451" s="9"/>
      <c r="AE451" s="10"/>
      <c r="AF451" s="11"/>
      <c r="AG451"/>
    </row>
    <row r="452" spans="1:33" ht="25.5" x14ac:dyDescent="0.2">
      <c r="A452" s="39" t="s">
        <v>289</v>
      </c>
      <c r="B452" s="5" t="s">
        <v>15</v>
      </c>
      <c r="C452" s="2"/>
      <c r="D452" s="3"/>
      <c r="E452" s="40" t="s">
        <v>268</v>
      </c>
      <c r="F452" s="2"/>
      <c r="G452" s="2">
        <v>0</v>
      </c>
      <c r="H452" s="40"/>
      <c r="I452" s="2"/>
      <c r="J452" s="2">
        <v>0</v>
      </c>
      <c r="K452" s="41" t="s">
        <v>141</v>
      </c>
      <c r="L452" s="2">
        <v>0.52500000000000002</v>
      </c>
      <c r="M452" s="3">
        <v>84</v>
      </c>
      <c r="N452" s="2">
        <v>0</v>
      </c>
      <c r="O452" s="2">
        <v>0</v>
      </c>
      <c r="P452" s="6">
        <v>3.3333330000000001E-2</v>
      </c>
      <c r="Q452" s="6">
        <v>8.3349999999999994E-2</v>
      </c>
      <c r="R452" s="2">
        <v>1.4586200000000001E-3</v>
      </c>
      <c r="T452" s="41">
        <v>5</v>
      </c>
      <c r="Y452" s="7"/>
      <c r="AA452" s="8"/>
      <c r="AB452" s="9"/>
      <c r="AE452" s="10"/>
      <c r="AF452" s="11"/>
      <c r="AG452"/>
    </row>
    <row r="453" spans="1:33" ht="25.5" x14ac:dyDescent="0.2">
      <c r="A453" s="39" t="s">
        <v>289</v>
      </c>
      <c r="B453" s="5" t="s">
        <v>15</v>
      </c>
      <c r="C453" s="2"/>
      <c r="D453" s="3"/>
      <c r="E453" s="40" t="s">
        <v>73</v>
      </c>
      <c r="F453" s="2"/>
      <c r="G453" s="2">
        <v>0</v>
      </c>
      <c r="H453" s="40"/>
      <c r="I453" s="2"/>
      <c r="J453" s="2">
        <v>0</v>
      </c>
      <c r="K453" s="41" t="s">
        <v>141</v>
      </c>
      <c r="L453" s="2">
        <v>0.1</v>
      </c>
      <c r="M453" s="3">
        <v>16</v>
      </c>
      <c r="N453" s="2">
        <v>0</v>
      </c>
      <c r="O453" s="2">
        <v>0</v>
      </c>
      <c r="P453" s="6">
        <v>0.05</v>
      </c>
      <c r="Q453" s="6">
        <v>8.3349999999999994E-2</v>
      </c>
      <c r="R453" s="2">
        <v>4.1675000000000002E-4</v>
      </c>
      <c r="T453" s="41">
        <v>5</v>
      </c>
      <c r="Y453" s="7"/>
      <c r="AA453" s="8"/>
      <c r="AB453" s="9"/>
      <c r="AE453" s="10"/>
      <c r="AF453" s="11"/>
      <c r="AG453"/>
    </row>
    <row r="454" spans="1:33" x14ac:dyDescent="0.2">
      <c r="A454" s="39" t="s">
        <v>290</v>
      </c>
      <c r="B454" s="5" t="s">
        <v>15</v>
      </c>
      <c r="C454" s="2"/>
      <c r="D454" s="3"/>
      <c r="E454" s="40" t="s">
        <v>270</v>
      </c>
      <c r="F454" s="2"/>
      <c r="G454" s="2">
        <v>0</v>
      </c>
      <c r="H454" s="40"/>
      <c r="I454" s="2"/>
      <c r="J454" s="2">
        <v>0</v>
      </c>
      <c r="K454" s="41" t="s">
        <v>46</v>
      </c>
      <c r="L454" s="2">
        <v>0.375</v>
      </c>
      <c r="M454" s="3">
        <v>60</v>
      </c>
      <c r="N454" s="2">
        <v>0</v>
      </c>
      <c r="O454" s="2">
        <v>0</v>
      </c>
      <c r="P454" s="6">
        <v>3.3333330000000001E-2</v>
      </c>
      <c r="Q454" s="6">
        <v>0.15</v>
      </c>
      <c r="R454" s="2">
        <v>1.8749999999999999E-3</v>
      </c>
      <c r="S454" s="4" t="s">
        <v>151</v>
      </c>
      <c r="T454" s="41">
        <v>5</v>
      </c>
      <c r="Y454" s="7"/>
      <c r="AA454" s="8"/>
      <c r="AB454" s="9"/>
      <c r="AE454" s="10"/>
      <c r="AF454" s="11"/>
      <c r="AG454"/>
    </row>
    <row r="455" spans="1:33" x14ac:dyDescent="0.2">
      <c r="A455" s="39" t="s">
        <v>291</v>
      </c>
      <c r="B455" s="5" t="s">
        <v>15</v>
      </c>
      <c r="C455" s="2"/>
      <c r="D455" s="3"/>
      <c r="E455" s="40" t="s">
        <v>268</v>
      </c>
      <c r="F455" s="2"/>
      <c r="G455" s="2">
        <v>0</v>
      </c>
      <c r="H455" s="40"/>
      <c r="I455" s="2"/>
      <c r="J455" s="2">
        <v>0</v>
      </c>
      <c r="K455" s="41" t="s">
        <v>151</v>
      </c>
      <c r="L455" s="2">
        <v>0.52500000000000002</v>
      </c>
      <c r="M455" s="3">
        <v>84</v>
      </c>
      <c r="N455" s="2">
        <v>0</v>
      </c>
      <c r="O455" s="2">
        <v>0</v>
      </c>
      <c r="P455" s="6">
        <v>3.3333330000000001E-2</v>
      </c>
      <c r="Q455" s="6">
        <v>6.25E-2</v>
      </c>
      <c r="R455" s="2">
        <v>1.0937500000000001E-3</v>
      </c>
      <c r="T455" s="41">
        <v>5</v>
      </c>
      <c r="Y455" s="7"/>
      <c r="AA455" s="8"/>
      <c r="AB455" s="9"/>
      <c r="AE455" s="10"/>
      <c r="AF455" s="11"/>
      <c r="AG455"/>
    </row>
    <row r="456" spans="1:33" x14ac:dyDescent="0.2">
      <c r="A456" s="39" t="s">
        <v>291</v>
      </c>
      <c r="B456" s="5" t="s">
        <v>15</v>
      </c>
      <c r="C456" s="2"/>
      <c r="D456" s="3"/>
      <c r="E456" s="40" t="s">
        <v>73</v>
      </c>
      <c r="F456" s="2"/>
      <c r="G456" s="2">
        <v>0</v>
      </c>
      <c r="H456" s="40"/>
      <c r="I456" s="2"/>
      <c r="J456" s="2">
        <v>0</v>
      </c>
      <c r="K456" s="41" t="s">
        <v>151</v>
      </c>
      <c r="L456" s="2">
        <v>0.1</v>
      </c>
      <c r="M456" s="3">
        <v>16</v>
      </c>
      <c r="N456" s="2">
        <v>0</v>
      </c>
      <c r="O456" s="2">
        <v>0</v>
      </c>
      <c r="P456" s="6">
        <v>0.05</v>
      </c>
      <c r="Q456" s="6">
        <v>6.25E-2</v>
      </c>
      <c r="R456" s="2">
        <v>3.1250000000000001E-4</v>
      </c>
      <c r="T456" s="41">
        <v>5</v>
      </c>
      <c r="Y456" s="7"/>
      <c r="AA456" s="8"/>
      <c r="AB456" s="9"/>
      <c r="AE456" s="10"/>
      <c r="AF456" s="11"/>
      <c r="AG456"/>
    </row>
    <row r="457" spans="1:33" x14ac:dyDescent="0.2">
      <c r="A457" s="39" t="s">
        <v>79</v>
      </c>
      <c r="B457" s="5" t="s">
        <v>52</v>
      </c>
      <c r="C457" s="2">
        <v>6.5625000000000003E-2</v>
      </c>
      <c r="D457" s="3">
        <v>10.5</v>
      </c>
      <c r="E457" s="40" t="s">
        <v>268</v>
      </c>
      <c r="F457" s="2"/>
      <c r="G457" s="2">
        <v>0</v>
      </c>
      <c r="H457" s="40"/>
      <c r="I457" s="2">
        <v>0.83333333330000003</v>
      </c>
      <c r="J457" s="2">
        <v>3.3333330000000001E-2</v>
      </c>
      <c r="K457" s="41" t="s">
        <v>292</v>
      </c>
      <c r="M457" s="3"/>
      <c r="N457" s="2">
        <v>0</v>
      </c>
      <c r="O457" s="2">
        <v>0</v>
      </c>
      <c r="P457" s="6">
        <v>0</v>
      </c>
      <c r="Q457" s="6">
        <v>0</v>
      </c>
      <c r="R457" s="2">
        <v>5.2499999999999998E-2</v>
      </c>
      <c r="T457" s="41">
        <v>5</v>
      </c>
      <c r="Y457" s="7"/>
      <c r="AA457" s="8"/>
      <c r="AB457" s="9"/>
      <c r="AE457" s="10"/>
      <c r="AF457" s="11"/>
      <c r="AG457"/>
    </row>
    <row r="458" spans="1:33" x14ac:dyDescent="0.2">
      <c r="A458" s="39" t="s">
        <v>79</v>
      </c>
      <c r="B458" s="5" t="s">
        <v>52</v>
      </c>
      <c r="C458" s="2">
        <v>1.2500000000000001E-2</v>
      </c>
      <c r="D458" s="3">
        <v>2</v>
      </c>
      <c r="E458" s="40" t="s">
        <v>73</v>
      </c>
      <c r="F458" s="2"/>
      <c r="G458" s="2">
        <v>0</v>
      </c>
      <c r="H458" s="40"/>
      <c r="I458" s="2">
        <v>0.85</v>
      </c>
      <c r="J458" s="2">
        <v>0.05</v>
      </c>
      <c r="K458" s="41" t="s">
        <v>292</v>
      </c>
      <c r="M458" s="3"/>
      <c r="N458" s="2">
        <v>0</v>
      </c>
      <c r="O458" s="2">
        <v>0</v>
      </c>
      <c r="P458" s="6">
        <v>0</v>
      </c>
      <c r="Q458" s="6">
        <v>0</v>
      </c>
      <c r="R458" s="2">
        <v>0.01</v>
      </c>
      <c r="T458" s="41">
        <v>5</v>
      </c>
      <c r="Y458" s="7"/>
      <c r="AA458" s="8"/>
      <c r="AB458" s="9"/>
      <c r="AE458" s="10"/>
      <c r="AF458" s="11"/>
      <c r="AG458"/>
    </row>
    <row r="459" spans="1:33" x14ac:dyDescent="0.2">
      <c r="A459" s="39" t="s">
        <v>82</v>
      </c>
      <c r="B459" s="5" t="s">
        <v>52</v>
      </c>
      <c r="C459" s="2">
        <v>0.39374999999999999</v>
      </c>
      <c r="D459" s="3">
        <v>63</v>
      </c>
      <c r="E459" s="40" t="s">
        <v>268</v>
      </c>
      <c r="F459" s="2"/>
      <c r="G459" s="2">
        <v>0</v>
      </c>
      <c r="H459" s="40"/>
      <c r="I459" s="2">
        <v>0.83333333330000003</v>
      </c>
      <c r="J459" s="2">
        <v>3.3333330000000001E-2</v>
      </c>
      <c r="K459" s="41" t="s">
        <v>292</v>
      </c>
      <c r="M459" s="3"/>
      <c r="N459" s="2">
        <v>0</v>
      </c>
      <c r="O459" s="2">
        <v>0</v>
      </c>
      <c r="P459" s="6">
        <v>0</v>
      </c>
      <c r="Q459" s="6">
        <v>0</v>
      </c>
      <c r="R459" s="2">
        <v>0.315</v>
      </c>
      <c r="T459" s="41">
        <v>5</v>
      </c>
      <c r="Y459" s="7"/>
      <c r="AA459" s="8"/>
      <c r="AB459" s="9"/>
      <c r="AE459" s="10"/>
      <c r="AF459" s="11"/>
      <c r="AG459"/>
    </row>
    <row r="460" spans="1:33" x14ac:dyDescent="0.2">
      <c r="A460" s="39" t="s">
        <v>82</v>
      </c>
      <c r="B460" s="5" t="s">
        <v>52</v>
      </c>
      <c r="C460" s="2">
        <v>6.5625000000000003E-2</v>
      </c>
      <c r="D460" s="3">
        <v>10.5</v>
      </c>
      <c r="E460" s="40" t="s">
        <v>268</v>
      </c>
      <c r="F460" s="2"/>
      <c r="G460" s="2">
        <v>0</v>
      </c>
      <c r="H460" s="40"/>
      <c r="I460" s="2">
        <v>0.83333333330000003</v>
      </c>
      <c r="J460" s="2">
        <v>4.8333330000000001E-2</v>
      </c>
      <c r="K460" s="41" t="s">
        <v>292</v>
      </c>
      <c r="M460" s="3"/>
      <c r="N460" s="2">
        <v>0</v>
      </c>
      <c r="O460" s="2">
        <v>0</v>
      </c>
      <c r="P460" s="6">
        <v>0</v>
      </c>
      <c r="Q460" s="6">
        <v>0</v>
      </c>
      <c r="R460" s="2">
        <v>5.1515640000000001E-2</v>
      </c>
      <c r="T460" s="41">
        <v>5</v>
      </c>
      <c r="Y460" s="7"/>
      <c r="AA460" s="8"/>
      <c r="AB460" s="9"/>
      <c r="AE460" s="10"/>
      <c r="AF460" s="11"/>
      <c r="AG460"/>
    </row>
    <row r="461" spans="1:33" x14ac:dyDescent="0.2">
      <c r="A461" s="39" t="s">
        <v>82</v>
      </c>
      <c r="B461" s="5" t="s">
        <v>52</v>
      </c>
      <c r="C461" s="2">
        <v>1.2500000000000001E-2</v>
      </c>
      <c r="D461" s="3">
        <v>2</v>
      </c>
      <c r="E461" s="40" t="s">
        <v>73</v>
      </c>
      <c r="F461" s="2"/>
      <c r="G461" s="2">
        <v>0</v>
      </c>
      <c r="H461" s="40"/>
      <c r="I461" s="2">
        <v>0.85</v>
      </c>
      <c r="J461" s="2">
        <v>6.5000000000000002E-2</v>
      </c>
      <c r="K461" s="41" t="s">
        <v>293</v>
      </c>
      <c r="M461" s="3"/>
      <c r="N461" s="2">
        <v>0</v>
      </c>
      <c r="O461" s="2">
        <v>0</v>
      </c>
      <c r="P461" s="6">
        <v>0</v>
      </c>
      <c r="Q461" s="6">
        <v>0</v>
      </c>
      <c r="R461" s="2">
        <v>9.8125E-3</v>
      </c>
      <c r="T461" s="41">
        <v>5</v>
      </c>
      <c r="Y461" s="7"/>
      <c r="AA461" s="8"/>
      <c r="AB461" s="9"/>
      <c r="AE461" s="10"/>
      <c r="AF461" s="11"/>
      <c r="AG461"/>
    </row>
    <row r="462" spans="1:33" x14ac:dyDescent="0.2">
      <c r="A462" s="39" t="s">
        <v>82</v>
      </c>
      <c r="B462" s="5" t="s">
        <v>52</v>
      </c>
      <c r="C462" s="2">
        <v>7.4999999999999997E-2</v>
      </c>
      <c r="D462" s="3">
        <v>12</v>
      </c>
      <c r="E462" s="40" t="s">
        <v>73</v>
      </c>
      <c r="F462" s="2"/>
      <c r="G462" s="2">
        <v>0</v>
      </c>
      <c r="H462" s="40"/>
      <c r="I462" s="2">
        <v>0.85</v>
      </c>
      <c r="J462" s="2">
        <v>0.05</v>
      </c>
      <c r="K462" s="41" t="s">
        <v>293</v>
      </c>
      <c r="M462" s="3"/>
      <c r="N462" s="2">
        <v>0</v>
      </c>
      <c r="O462" s="2">
        <v>0</v>
      </c>
      <c r="P462" s="6">
        <v>0</v>
      </c>
      <c r="Q462" s="6">
        <v>0</v>
      </c>
      <c r="R462" s="2">
        <v>0.06</v>
      </c>
      <c r="T462" s="41">
        <v>5</v>
      </c>
      <c r="Y462" s="7"/>
      <c r="AA462" s="8"/>
      <c r="AB462" s="9"/>
      <c r="AE462" s="10"/>
      <c r="AF462" s="11"/>
      <c r="AG462"/>
    </row>
    <row r="463" spans="1:33" x14ac:dyDescent="0.2">
      <c r="A463" s="39" t="s">
        <v>294</v>
      </c>
      <c r="B463" s="5" t="s">
        <v>52</v>
      </c>
      <c r="C463" s="2">
        <v>0.2</v>
      </c>
      <c r="D463" s="3">
        <v>32</v>
      </c>
      <c r="E463" s="40" t="s">
        <v>296</v>
      </c>
      <c r="F463" s="2"/>
      <c r="G463" s="2">
        <v>0</v>
      </c>
      <c r="H463" s="40"/>
      <c r="I463" s="2">
        <v>0.8125</v>
      </c>
      <c r="J463" s="2">
        <v>4.3333330000000003E-2</v>
      </c>
      <c r="K463" s="41" t="s">
        <v>295</v>
      </c>
      <c r="M463" s="3"/>
      <c r="N463" s="2">
        <v>0</v>
      </c>
      <c r="O463" s="2">
        <v>0</v>
      </c>
      <c r="P463" s="6">
        <v>0</v>
      </c>
      <c r="Q463" s="6">
        <v>0</v>
      </c>
      <c r="R463" s="2">
        <v>0.15383332999999999</v>
      </c>
      <c r="T463" s="41">
        <v>5</v>
      </c>
      <c r="Y463" s="7"/>
      <c r="AA463" s="8"/>
      <c r="AB463" s="9"/>
      <c r="AE463" s="10"/>
      <c r="AF463" s="11"/>
      <c r="AG463"/>
    </row>
    <row r="464" spans="1:33" x14ac:dyDescent="0.2">
      <c r="A464" s="39" t="s">
        <v>294</v>
      </c>
      <c r="B464" s="5" t="s">
        <v>52</v>
      </c>
      <c r="C464" s="2">
        <v>7.4999999999999997E-2</v>
      </c>
      <c r="D464" s="3">
        <v>12</v>
      </c>
      <c r="E464" s="40" t="s">
        <v>160</v>
      </c>
      <c r="F464" s="2"/>
      <c r="G464" s="2">
        <v>0</v>
      </c>
      <c r="H464" s="40"/>
      <c r="I464" s="2">
        <v>0.83333333330000003</v>
      </c>
      <c r="J464" s="2">
        <v>4.3333330000000003E-2</v>
      </c>
      <c r="K464" s="41" t="s">
        <v>295</v>
      </c>
      <c r="M464" s="3"/>
      <c r="N464" s="2">
        <v>0</v>
      </c>
      <c r="O464" s="2">
        <v>0</v>
      </c>
      <c r="P464" s="6">
        <v>0</v>
      </c>
      <c r="Q464" s="6">
        <v>0</v>
      </c>
      <c r="R464" s="2">
        <v>5.9249999999999997E-2</v>
      </c>
      <c r="T464" s="41">
        <v>5</v>
      </c>
      <c r="Y464" s="7"/>
      <c r="AA464" s="8"/>
      <c r="AB464" s="9"/>
      <c r="AE464" s="10"/>
      <c r="AF464" s="11"/>
      <c r="AG464"/>
    </row>
    <row r="465" spans="1:33" x14ac:dyDescent="0.2">
      <c r="A465" s="39" t="s">
        <v>294</v>
      </c>
      <c r="B465" s="5" t="s">
        <v>52</v>
      </c>
      <c r="C465" s="2">
        <v>0.05</v>
      </c>
      <c r="D465" s="3">
        <v>8</v>
      </c>
      <c r="E465" s="40" t="s">
        <v>115</v>
      </c>
      <c r="F465" s="2"/>
      <c r="G465" s="2">
        <v>0</v>
      </c>
      <c r="H465" s="40"/>
      <c r="I465" s="2">
        <v>0.8</v>
      </c>
      <c r="J465" s="2">
        <v>4.3333330000000003E-2</v>
      </c>
      <c r="K465" s="41" t="s">
        <v>295</v>
      </c>
      <c r="M465" s="3"/>
      <c r="N465" s="2">
        <v>0</v>
      </c>
      <c r="O465" s="2">
        <v>0</v>
      </c>
      <c r="P465" s="6">
        <v>0</v>
      </c>
      <c r="Q465" s="6">
        <v>0</v>
      </c>
      <c r="R465" s="2">
        <v>3.7833329999999998E-2</v>
      </c>
      <c r="T465" s="41">
        <v>5</v>
      </c>
      <c r="Y465" s="7"/>
      <c r="AA465" s="8"/>
      <c r="AB465" s="9"/>
      <c r="AE465" s="10"/>
      <c r="AF465" s="11"/>
      <c r="AG465"/>
    </row>
    <row r="466" spans="1:33" x14ac:dyDescent="0.2">
      <c r="A466" s="39" t="s">
        <v>297</v>
      </c>
      <c r="B466" s="5" t="s">
        <v>52</v>
      </c>
      <c r="C466" s="2">
        <v>0.05</v>
      </c>
      <c r="D466" s="3">
        <v>8</v>
      </c>
      <c r="E466" s="40" t="s">
        <v>109</v>
      </c>
      <c r="F466" s="2"/>
      <c r="G466" s="2">
        <v>0</v>
      </c>
      <c r="H466" s="40"/>
      <c r="I466" s="2">
        <v>0.8</v>
      </c>
      <c r="J466" s="2">
        <v>4.3333330000000003E-2</v>
      </c>
      <c r="K466" s="41" t="s">
        <v>298</v>
      </c>
      <c r="M466" s="3"/>
      <c r="N466" s="2">
        <v>0</v>
      </c>
      <c r="O466" s="2">
        <v>0</v>
      </c>
      <c r="P466" s="6">
        <v>0</v>
      </c>
      <c r="Q466" s="6">
        <v>0</v>
      </c>
      <c r="R466" s="2">
        <v>3.783334E-2</v>
      </c>
      <c r="T466" s="41">
        <v>5</v>
      </c>
      <c r="Y466" s="7"/>
      <c r="AA466" s="8"/>
      <c r="AB466" s="9"/>
      <c r="AE466" s="10"/>
      <c r="AF466" s="11"/>
      <c r="AG466"/>
    </row>
    <row r="467" spans="1:33" x14ac:dyDescent="0.2">
      <c r="A467" s="39" t="s">
        <v>299</v>
      </c>
      <c r="B467" s="5" t="s">
        <v>21</v>
      </c>
      <c r="C467" s="2">
        <v>7.4074070000000006E-2</v>
      </c>
      <c r="D467" s="3">
        <v>11.851851999999999</v>
      </c>
      <c r="E467" s="40" t="s">
        <v>35</v>
      </c>
      <c r="F467" s="2">
        <v>0.1875</v>
      </c>
      <c r="G467" s="2">
        <v>0</v>
      </c>
      <c r="H467" s="40"/>
      <c r="I467" s="2"/>
      <c r="J467" s="2">
        <v>0</v>
      </c>
      <c r="K467" s="41"/>
      <c r="M467" s="3"/>
      <c r="N467" s="2">
        <v>0</v>
      </c>
      <c r="O467" s="2">
        <v>0</v>
      </c>
      <c r="P467" s="6">
        <v>0</v>
      </c>
      <c r="Q467" s="6">
        <v>0</v>
      </c>
      <c r="R467" s="2">
        <v>1.3888889999999999E-2</v>
      </c>
      <c r="T467" s="41">
        <v>6</v>
      </c>
      <c r="Y467" s="7"/>
      <c r="AA467" s="8"/>
      <c r="AB467" s="9"/>
      <c r="AE467" s="10"/>
      <c r="AF467" s="11"/>
      <c r="AG467"/>
    </row>
    <row r="468" spans="1:33" ht="25.5" x14ac:dyDescent="0.2">
      <c r="A468" s="39" t="s">
        <v>300</v>
      </c>
      <c r="B468" s="5" t="s">
        <v>21</v>
      </c>
      <c r="C468" s="2">
        <v>7.4074070000000006E-2</v>
      </c>
      <c r="D468" s="3">
        <v>11.851851</v>
      </c>
      <c r="E468" s="40" t="s">
        <v>35</v>
      </c>
      <c r="F468" s="2">
        <v>0.1875</v>
      </c>
      <c r="G468" s="2">
        <v>0</v>
      </c>
      <c r="H468" s="40"/>
      <c r="I468" s="2"/>
      <c r="J468" s="2">
        <v>0</v>
      </c>
      <c r="K468" s="41"/>
      <c r="M468" s="3"/>
      <c r="N468" s="2">
        <v>0</v>
      </c>
      <c r="O468" s="2">
        <v>0</v>
      </c>
      <c r="P468" s="6">
        <v>0</v>
      </c>
      <c r="Q468" s="6">
        <v>0</v>
      </c>
      <c r="R468" s="2">
        <v>1.3888889999999999E-2</v>
      </c>
      <c r="T468" s="41">
        <v>6</v>
      </c>
      <c r="Y468" s="7"/>
      <c r="AA468" s="8"/>
      <c r="AB468" s="9"/>
      <c r="AE468" s="10"/>
      <c r="AF468" s="11"/>
      <c r="AG468"/>
    </row>
    <row r="469" spans="1:33" x14ac:dyDescent="0.2">
      <c r="A469" s="39" t="s">
        <v>301</v>
      </c>
      <c r="B469" s="5" t="s">
        <v>21</v>
      </c>
      <c r="C469" s="2">
        <v>7.407408E-2</v>
      </c>
      <c r="D469" s="3">
        <v>11.851853</v>
      </c>
      <c r="E469" s="40" t="s">
        <v>35</v>
      </c>
      <c r="F469" s="2">
        <v>0.1875</v>
      </c>
      <c r="G469" s="2">
        <v>0</v>
      </c>
      <c r="H469" s="40"/>
      <c r="I469" s="2"/>
      <c r="J469" s="2">
        <v>0</v>
      </c>
      <c r="K469" s="41"/>
      <c r="M469" s="3"/>
      <c r="N469" s="2">
        <v>0</v>
      </c>
      <c r="O469" s="2">
        <v>0</v>
      </c>
      <c r="P469" s="6">
        <v>0</v>
      </c>
      <c r="Q469" s="6">
        <v>0</v>
      </c>
      <c r="R469" s="2">
        <v>1.3888889999999999E-2</v>
      </c>
      <c r="T469" s="41">
        <v>6</v>
      </c>
      <c r="Y469" s="7"/>
      <c r="AA469" s="8"/>
      <c r="AB469" s="9"/>
      <c r="AE469" s="10"/>
      <c r="AF469" s="11"/>
      <c r="AG469"/>
    </row>
    <row r="470" spans="1:33" ht="25.5" x14ac:dyDescent="0.2">
      <c r="A470" s="39" t="s">
        <v>302</v>
      </c>
      <c r="B470" s="5" t="s">
        <v>21</v>
      </c>
      <c r="C470" s="2">
        <v>0.22222222</v>
      </c>
      <c r="D470" s="3">
        <v>35.555554999999998</v>
      </c>
      <c r="E470" s="40" t="s">
        <v>26</v>
      </c>
      <c r="F470" s="2">
        <v>0.1875</v>
      </c>
      <c r="G470" s="2">
        <v>0</v>
      </c>
      <c r="H470" s="40"/>
      <c r="I470" s="2"/>
      <c r="J470" s="2">
        <v>0</v>
      </c>
      <c r="K470" s="41"/>
      <c r="M470" s="3"/>
      <c r="N470" s="2">
        <v>0</v>
      </c>
      <c r="O470" s="2">
        <v>0</v>
      </c>
      <c r="P470" s="6">
        <v>0</v>
      </c>
      <c r="Q470" s="6">
        <v>0</v>
      </c>
      <c r="R470" s="2">
        <v>4.1666670000000003E-2</v>
      </c>
      <c r="T470" s="41">
        <v>6</v>
      </c>
      <c r="Y470" s="7"/>
      <c r="AA470" s="8"/>
      <c r="AB470" s="9"/>
      <c r="AE470" s="10"/>
      <c r="AF470" s="11"/>
      <c r="AG470"/>
    </row>
    <row r="471" spans="1:33" ht="38.25" x14ac:dyDescent="0.2">
      <c r="A471" s="39" t="s">
        <v>303</v>
      </c>
      <c r="B471" s="5" t="s">
        <v>21</v>
      </c>
      <c r="C471" s="2">
        <v>0.22222222</v>
      </c>
      <c r="D471" s="3">
        <v>35.555554999999998</v>
      </c>
      <c r="E471" s="40" t="s">
        <v>27</v>
      </c>
      <c r="F471" s="2">
        <v>0.1875</v>
      </c>
      <c r="G471" s="2">
        <v>0</v>
      </c>
      <c r="H471" s="40"/>
      <c r="I471" s="2"/>
      <c r="J471" s="2">
        <v>0</v>
      </c>
      <c r="K471" s="41"/>
      <c r="M471" s="3"/>
      <c r="N471" s="2">
        <v>0</v>
      </c>
      <c r="O471" s="2">
        <v>0</v>
      </c>
      <c r="P471" s="6">
        <v>0</v>
      </c>
      <c r="Q471" s="6">
        <v>0</v>
      </c>
      <c r="R471" s="2">
        <v>4.1666660000000001E-2</v>
      </c>
      <c r="T471" s="41">
        <v>6</v>
      </c>
      <c r="Y471" s="7"/>
      <c r="AA471" s="8"/>
      <c r="AB471" s="9"/>
      <c r="AE471" s="10"/>
      <c r="AF471" s="11"/>
      <c r="AG471"/>
    </row>
    <row r="472" spans="1:33" ht="38.25" x14ac:dyDescent="0.2">
      <c r="A472" s="39" t="s">
        <v>304</v>
      </c>
      <c r="B472" s="5" t="s">
        <v>21</v>
      </c>
      <c r="C472" s="2">
        <v>0.33333333999999998</v>
      </c>
      <c r="D472" s="3">
        <v>53.333334000000001</v>
      </c>
      <c r="E472" s="40" t="s">
        <v>74</v>
      </c>
      <c r="F472" s="2">
        <v>0.1875</v>
      </c>
      <c r="G472" s="2">
        <v>0</v>
      </c>
      <c r="H472" s="40"/>
      <c r="I472" s="2"/>
      <c r="J472" s="2">
        <v>0</v>
      </c>
      <c r="K472" s="41"/>
      <c r="M472" s="3"/>
      <c r="N472" s="2">
        <v>0</v>
      </c>
      <c r="O472" s="2">
        <v>0</v>
      </c>
      <c r="P472" s="6">
        <v>0</v>
      </c>
      <c r="Q472" s="6">
        <v>0</v>
      </c>
      <c r="R472" s="2">
        <v>6.25E-2</v>
      </c>
      <c r="T472" s="41">
        <v>6</v>
      </c>
      <c r="Y472" s="7"/>
      <c r="AA472" s="8"/>
      <c r="AB472" s="9"/>
      <c r="AE472" s="10"/>
      <c r="AF472" s="11"/>
      <c r="AG472"/>
    </row>
    <row r="473" spans="1:33" x14ac:dyDescent="0.2">
      <c r="A473" s="39" t="s">
        <v>119</v>
      </c>
      <c r="B473" s="5" t="s">
        <v>13</v>
      </c>
      <c r="C473" s="2"/>
      <c r="D473" s="3"/>
      <c r="E473" s="40"/>
      <c r="F473" s="2"/>
      <c r="G473" s="2">
        <v>0</v>
      </c>
      <c r="H473" s="40"/>
      <c r="I473" s="2"/>
      <c r="J473" s="2">
        <v>0</v>
      </c>
      <c r="K473" s="41"/>
      <c r="M473" s="3">
        <v>0</v>
      </c>
      <c r="N473" s="2">
        <v>0</v>
      </c>
      <c r="O473" s="2">
        <v>0</v>
      </c>
      <c r="P473" s="6">
        <v>0</v>
      </c>
      <c r="Q473" s="6">
        <v>0</v>
      </c>
      <c r="R473" s="2">
        <v>0</v>
      </c>
      <c r="T473" s="41">
        <v>6</v>
      </c>
      <c r="Y473" s="7"/>
      <c r="AA473" s="8"/>
      <c r="AB473" s="9"/>
      <c r="AE473" s="10"/>
      <c r="AF473" s="11"/>
      <c r="AG473"/>
    </row>
    <row r="474" spans="1:33" x14ac:dyDescent="0.2">
      <c r="A474" s="39" t="s">
        <v>269</v>
      </c>
      <c r="B474" s="5" t="s">
        <v>15</v>
      </c>
      <c r="C474" s="2"/>
      <c r="D474" s="3"/>
      <c r="E474" s="40" t="s">
        <v>305</v>
      </c>
      <c r="F474" s="2"/>
      <c r="G474" s="2">
        <v>0</v>
      </c>
      <c r="H474" s="40"/>
      <c r="I474" s="2"/>
      <c r="J474" s="2">
        <v>0</v>
      </c>
      <c r="K474" s="41" t="s">
        <v>32</v>
      </c>
      <c r="L474" s="2">
        <v>1</v>
      </c>
      <c r="M474" s="3">
        <v>160</v>
      </c>
      <c r="N474" s="2">
        <v>0</v>
      </c>
      <c r="O474" s="2">
        <v>0</v>
      </c>
      <c r="P474" s="6">
        <v>3.3333330000000001E-2</v>
      </c>
      <c r="Q474" s="6">
        <v>1.5E-3</v>
      </c>
      <c r="R474" s="2">
        <v>5.0000000000000002E-5</v>
      </c>
      <c r="S474" s="4" t="s">
        <v>271</v>
      </c>
      <c r="T474" s="41">
        <v>6</v>
      </c>
      <c r="Y474" s="7"/>
      <c r="AA474" s="8"/>
      <c r="AB474" s="9"/>
      <c r="AE474" s="10"/>
      <c r="AF474" s="11"/>
      <c r="AG474"/>
    </row>
    <row r="475" spans="1:33" x14ac:dyDescent="0.2">
      <c r="A475" s="39" t="s">
        <v>275</v>
      </c>
      <c r="B475" s="5" t="s">
        <v>15</v>
      </c>
      <c r="C475" s="2"/>
      <c r="D475" s="3"/>
      <c r="E475" s="40" t="s">
        <v>305</v>
      </c>
      <c r="F475" s="2"/>
      <c r="G475" s="2">
        <v>0</v>
      </c>
      <c r="H475" s="40"/>
      <c r="I475" s="2"/>
      <c r="J475" s="2">
        <v>0</v>
      </c>
      <c r="K475" s="41" t="s">
        <v>306</v>
      </c>
      <c r="L475" s="2">
        <v>1</v>
      </c>
      <c r="M475" s="3">
        <v>160</v>
      </c>
      <c r="N475" s="2">
        <v>0</v>
      </c>
      <c r="O475" s="2">
        <v>0</v>
      </c>
      <c r="P475" s="6">
        <v>3.3333330000000001E-2</v>
      </c>
      <c r="Q475" s="6">
        <v>0.05</v>
      </c>
      <c r="R475" s="2">
        <v>1.6666700000000001E-3</v>
      </c>
      <c r="S475" s="4" t="s">
        <v>151</v>
      </c>
      <c r="T475" s="41">
        <v>6</v>
      </c>
      <c r="Y475" s="7"/>
      <c r="AA475" s="8"/>
      <c r="AB475" s="9"/>
      <c r="AE475" s="10"/>
      <c r="AF475" s="11"/>
      <c r="AG475"/>
    </row>
    <row r="476" spans="1:33" x14ac:dyDescent="0.2">
      <c r="A476" s="39" t="s">
        <v>277</v>
      </c>
      <c r="B476" s="5" t="s">
        <v>15</v>
      </c>
      <c r="C476" s="2"/>
      <c r="D476" s="3"/>
      <c r="E476" s="40" t="s">
        <v>305</v>
      </c>
      <c r="F476" s="2"/>
      <c r="G476" s="2">
        <v>0</v>
      </c>
      <c r="H476" s="40"/>
      <c r="I476" s="2"/>
      <c r="J476" s="2">
        <v>0</v>
      </c>
      <c r="K476" s="41" t="s">
        <v>306</v>
      </c>
      <c r="L476" s="2">
        <v>1</v>
      </c>
      <c r="M476" s="3">
        <v>160</v>
      </c>
      <c r="N476" s="2">
        <v>0</v>
      </c>
      <c r="O476" s="2">
        <v>0</v>
      </c>
      <c r="P476" s="6">
        <v>3.3333330000000001E-2</v>
      </c>
      <c r="Q476" s="6">
        <v>0.14849999999999999</v>
      </c>
      <c r="R476" s="2">
        <v>4.9500000000000004E-3</v>
      </c>
      <c r="S476" s="4" t="s">
        <v>271</v>
      </c>
      <c r="T476" s="41">
        <v>6</v>
      </c>
      <c r="Y476" s="7"/>
      <c r="AA476" s="8"/>
      <c r="AB476" s="9"/>
      <c r="AE476" s="10"/>
      <c r="AF476" s="11"/>
      <c r="AG476"/>
    </row>
    <row r="477" spans="1:33" x14ac:dyDescent="0.2">
      <c r="A477" s="39" t="s">
        <v>282</v>
      </c>
      <c r="B477" s="5" t="s">
        <v>15</v>
      </c>
      <c r="C477" s="2"/>
      <c r="D477" s="3"/>
      <c r="E477" s="40" t="s">
        <v>305</v>
      </c>
      <c r="F477" s="2"/>
      <c r="G477" s="2">
        <v>0</v>
      </c>
      <c r="H477" s="40"/>
      <c r="I477" s="2"/>
      <c r="J477" s="2">
        <v>0</v>
      </c>
      <c r="K477" s="41" t="s">
        <v>306</v>
      </c>
      <c r="L477" s="2">
        <v>1</v>
      </c>
      <c r="M477" s="3">
        <v>160</v>
      </c>
      <c r="N477" s="2">
        <v>0</v>
      </c>
      <c r="O477" s="2">
        <v>0</v>
      </c>
      <c r="P477" s="6">
        <v>3.3333330000000001E-2</v>
      </c>
      <c r="Q477" s="6">
        <v>0.5</v>
      </c>
      <c r="R477" s="2">
        <v>1.6666670000000001E-2</v>
      </c>
      <c r="S477" s="4" t="s">
        <v>151</v>
      </c>
      <c r="T477" s="41">
        <v>6</v>
      </c>
      <c r="Y477" s="7"/>
      <c r="AA477" s="8"/>
      <c r="AB477" s="9"/>
      <c r="AE477" s="10"/>
      <c r="AF477" s="11"/>
      <c r="AG477"/>
    </row>
    <row r="478" spans="1:33" x14ac:dyDescent="0.2">
      <c r="A478" s="39" t="s">
        <v>283</v>
      </c>
      <c r="B478" s="5" t="s">
        <v>15</v>
      </c>
      <c r="C478" s="2"/>
      <c r="D478" s="3"/>
      <c r="E478" s="40" t="s">
        <v>305</v>
      </c>
      <c r="F478" s="2"/>
      <c r="G478" s="2">
        <v>0</v>
      </c>
      <c r="H478" s="40"/>
      <c r="I478" s="2"/>
      <c r="J478" s="2">
        <v>0</v>
      </c>
      <c r="K478" s="41" t="s">
        <v>306</v>
      </c>
      <c r="L478" s="2">
        <v>1</v>
      </c>
      <c r="M478" s="3">
        <v>160</v>
      </c>
      <c r="N478" s="2">
        <v>0</v>
      </c>
      <c r="O478" s="2">
        <v>0</v>
      </c>
      <c r="P478" s="6">
        <v>3.3333330000000001E-2</v>
      </c>
      <c r="Q478" s="6">
        <v>0.15</v>
      </c>
      <c r="R478" s="2">
        <v>5.0000000000000001E-3</v>
      </c>
      <c r="S478" s="4" t="s">
        <v>151</v>
      </c>
      <c r="T478" s="41">
        <v>6</v>
      </c>
      <c r="Y478" s="7"/>
      <c r="AA478" s="8"/>
      <c r="AB478" s="9"/>
      <c r="AE478" s="10"/>
      <c r="AF478" s="11"/>
      <c r="AG478"/>
    </row>
    <row r="479" spans="1:33" x14ac:dyDescent="0.2">
      <c r="A479" s="39" t="s">
        <v>307</v>
      </c>
      <c r="B479" s="5" t="s">
        <v>15</v>
      </c>
      <c r="C479" s="2"/>
      <c r="D479" s="3"/>
      <c r="E479" s="40" t="s">
        <v>305</v>
      </c>
      <c r="F479" s="2"/>
      <c r="G479" s="2">
        <v>0</v>
      </c>
      <c r="H479" s="40"/>
      <c r="I479" s="2"/>
      <c r="J479" s="2">
        <v>0</v>
      </c>
      <c r="K479" s="41" t="s">
        <v>308</v>
      </c>
      <c r="L479" s="2">
        <v>1</v>
      </c>
      <c r="M479" s="3">
        <v>160</v>
      </c>
      <c r="N479" s="2">
        <v>0</v>
      </c>
      <c r="O479" s="2">
        <v>0</v>
      </c>
      <c r="P479" s="6">
        <v>0.01</v>
      </c>
      <c r="Q479" s="6">
        <v>1</v>
      </c>
      <c r="R479" s="2">
        <v>0.01</v>
      </c>
      <c r="T479" s="41">
        <v>6</v>
      </c>
      <c r="Y479" s="7"/>
      <c r="AA479" s="8"/>
      <c r="AB479" s="9"/>
      <c r="AE479" s="10"/>
      <c r="AF479" s="11"/>
      <c r="AG479"/>
    </row>
    <row r="480" spans="1:33" x14ac:dyDescent="0.2">
      <c r="A480" s="39" t="s">
        <v>290</v>
      </c>
      <c r="B480" s="5" t="s">
        <v>15</v>
      </c>
      <c r="C480" s="2"/>
      <c r="D480" s="3"/>
      <c r="E480" s="40" t="s">
        <v>305</v>
      </c>
      <c r="F480" s="2"/>
      <c r="G480" s="2">
        <v>0</v>
      </c>
      <c r="H480" s="40"/>
      <c r="I480" s="2"/>
      <c r="J480" s="2">
        <v>0</v>
      </c>
      <c r="K480" s="41" t="s">
        <v>306</v>
      </c>
      <c r="L480" s="2">
        <v>1</v>
      </c>
      <c r="M480" s="3">
        <v>160</v>
      </c>
      <c r="N480" s="2">
        <v>0</v>
      </c>
      <c r="O480" s="2">
        <v>0</v>
      </c>
      <c r="P480" s="6">
        <v>3.3333330000000001E-2</v>
      </c>
      <c r="Q480" s="6">
        <v>0.15</v>
      </c>
      <c r="R480" s="2">
        <v>5.0000000000000001E-3</v>
      </c>
      <c r="S480" s="4" t="s">
        <v>151</v>
      </c>
      <c r="T480" s="41">
        <v>6</v>
      </c>
      <c r="Y480" s="7"/>
      <c r="AA480" s="8"/>
      <c r="AB480" s="9"/>
      <c r="AE480" s="10"/>
      <c r="AF480" s="11"/>
      <c r="AG480"/>
    </row>
    <row r="481" spans="1:33" x14ac:dyDescent="0.2">
      <c r="A481" s="39" t="s">
        <v>309</v>
      </c>
      <c r="B481" s="5" t="s">
        <v>52</v>
      </c>
      <c r="C481" s="2">
        <v>1</v>
      </c>
      <c r="D481" s="3">
        <v>160</v>
      </c>
      <c r="E481" s="40" t="s">
        <v>305</v>
      </c>
      <c r="F481" s="2"/>
      <c r="G481" s="2">
        <v>0</v>
      </c>
      <c r="H481" s="40"/>
      <c r="I481" s="2">
        <v>0.8125</v>
      </c>
      <c r="J481" s="2">
        <v>4.3333330000000003E-2</v>
      </c>
      <c r="K481" s="41" t="s">
        <v>310</v>
      </c>
      <c r="M481" s="3"/>
      <c r="N481" s="2">
        <v>0</v>
      </c>
      <c r="O481" s="2">
        <v>0</v>
      </c>
      <c r="P481" s="6">
        <v>0</v>
      </c>
      <c r="Q481" s="6">
        <v>0</v>
      </c>
      <c r="R481" s="2">
        <v>0.76916666</v>
      </c>
      <c r="T481" s="41">
        <v>6</v>
      </c>
      <c r="Y481" s="7"/>
      <c r="AA481" s="8"/>
      <c r="AB481" s="9"/>
      <c r="AE481" s="10"/>
      <c r="AF481" s="11"/>
      <c r="AG481"/>
    </row>
    <row r="482" spans="1:33" x14ac:dyDescent="0.2">
      <c r="A482" s="39" t="s">
        <v>311</v>
      </c>
      <c r="B482" s="5" t="s">
        <v>21</v>
      </c>
      <c r="C482" s="2">
        <v>8.3333329999999997E-2</v>
      </c>
      <c r="D482" s="3">
        <v>13.333333</v>
      </c>
      <c r="E482" s="40" t="s">
        <v>168</v>
      </c>
      <c r="F482" s="2">
        <v>0.1875</v>
      </c>
      <c r="G482" s="2">
        <v>0</v>
      </c>
      <c r="H482" s="40"/>
      <c r="I482" s="2"/>
      <c r="J482" s="2">
        <v>0</v>
      </c>
      <c r="K482" s="41"/>
      <c r="M482" s="3"/>
      <c r="N482" s="2">
        <v>0</v>
      </c>
      <c r="O482" s="2">
        <v>0</v>
      </c>
      <c r="P482" s="6">
        <v>0</v>
      </c>
      <c r="Q482" s="6">
        <v>0</v>
      </c>
      <c r="R482" s="2">
        <v>1.5625E-2</v>
      </c>
      <c r="T482" s="41">
        <v>7</v>
      </c>
      <c r="Y482" s="7"/>
      <c r="AA482" s="8"/>
      <c r="AB482" s="9"/>
      <c r="AE482" s="10"/>
      <c r="AF482" s="11"/>
      <c r="AG482"/>
    </row>
    <row r="483" spans="1:33" x14ac:dyDescent="0.2">
      <c r="A483" s="39" t="s">
        <v>311</v>
      </c>
      <c r="B483" s="5" t="s">
        <v>21</v>
      </c>
      <c r="C483" s="2">
        <v>8.3333329999999997E-2</v>
      </c>
      <c r="D483" s="3">
        <v>13.333333</v>
      </c>
      <c r="E483" s="40" t="s">
        <v>58</v>
      </c>
      <c r="F483" s="2">
        <v>0.16666666999999999</v>
      </c>
      <c r="G483" s="2">
        <v>0</v>
      </c>
      <c r="H483" s="40"/>
      <c r="I483" s="2"/>
      <c r="J483" s="2">
        <v>0</v>
      </c>
      <c r="K483" s="41"/>
      <c r="M483" s="3"/>
      <c r="N483" s="2">
        <v>0</v>
      </c>
      <c r="O483" s="2">
        <v>0</v>
      </c>
      <c r="P483" s="6">
        <v>0</v>
      </c>
      <c r="Q483" s="6">
        <v>0</v>
      </c>
      <c r="R483" s="2">
        <v>1.3888889999999999E-2</v>
      </c>
      <c r="T483" s="41">
        <v>7</v>
      </c>
      <c r="Y483" s="7"/>
      <c r="AA483" s="8"/>
      <c r="AB483" s="9"/>
      <c r="AE483" s="10"/>
      <c r="AF483" s="11"/>
      <c r="AG483"/>
    </row>
    <row r="484" spans="1:33" ht="38.25" x14ac:dyDescent="0.2">
      <c r="A484" s="39" t="s">
        <v>312</v>
      </c>
      <c r="B484" s="5" t="s">
        <v>21</v>
      </c>
      <c r="C484" s="2">
        <v>6.25E-2</v>
      </c>
      <c r="D484" s="3">
        <v>10</v>
      </c>
      <c r="E484" s="40" t="s">
        <v>154</v>
      </c>
      <c r="F484" s="2">
        <v>0.16666666999999999</v>
      </c>
      <c r="G484" s="2">
        <v>0</v>
      </c>
      <c r="H484" s="40"/>
      <c r="I484" s="2"/>
      <c r="J484" s="2">
        <v>0</v>
      </c>
      <c r="K484" s="41"/>
      <c r="M484" s="3"/>
      <c r="N484" s="2">
        <v>0</v>
      </c>
      <c r="O484" s="2">
        <v>0</v>
      </c>
      <c r="P484" s="6">
        <v>0</v>
      </c>
      <c r="Q484" s="6">
        <v>0</v>
      </c>
      <c r="R484" s="2">
        <v>1.0416669999999999E-2</v>
      </c>
      <c r="T484" s="41">
        <v>7</v>
      </c>
      <c r="Y484" s="7"/>
      <c r="AA484" s="8"/>
      <c r="AB484" s="9"/>
      <c r="AE484" s="10"/>
      <c r="AF484" s="11"/>
      <c r="AG484"/>
    </row>
    <row r="485" spans="1:33" x14ac:dyDescent="0.2">
      <c r="A485" s="39" t="s">
        <v>313</v>
      </c>
      <c r="B485" s="5" t="s">
        <v>21</v>
      </c>
      <c r="C485" s="2">
        <v>7.4999999999999997E-2</v>
      </c>
      <c r="D485" s="3">
        <v>12</v>
      </c>
      <c r="E485" s="40" t="s">
        <v>28</v>
      </c>
      <c r="F485" s="2">
        <v>0.1875</v>
      </c>
      <c r="G485" s="2">
        <v>0</v>
      </c>
      <c r="H485" s="40"/>
      <c r="I485" s="2"/>
      <c r="J485" s="2">
        <v>0</v>
      </c>
      <c r="K485" s="41"/>
      <c r="M485" s="3"/>
      <c r="N485" s="2">
        <v>0</v>
      </c>
      <c r="O485" s="2">
        <v>0</v>
      </c>
      <c r="P485" s="6">
        <v>0</v>
      </c>
      <c r="Q485" s="6">
        <v>0</v>
      </c>
      <c r="R485" s="2">
        <v>1.40625E-2</v>
      </c>
      <c r="T485" s="41">
        <v>7</v>
      </c>
      <c r="Y485" s="7"/>
      <c r="AA485" s="8"/>
      <c r="AB485" s="9"/>
      <c r="AE485" s="10"/>
      <c r="AF485" s="11"/>
      <c r="AG485"/>
    </row>
    <row r="486" spans="1:33" x14ac:dyDescent="0.2">
      <c r="A486" s="39" t="s">
        <v>314</v>
      </c>
      <c r="B486" s="5" t="s">
        <v>21</v>
      </c>
      <c r="C486" s="2">
        <v>4.1666670000000003E-2</v>
      </c>
      <c r="D486" s="3">
        <v>6.6666670000000003</v>
      </c>
      <c r="E486" s="40" t="s">
        <v>192</v>
      </c>
      <c r="F486" s="2">
        <v>0.1875</v>
      </c>
      <c r="G486" s="2">
        <v>0</v>
      </c>
      <c r="H486" s="40"/>
      <c r="I486" s="2"/>
      <c r="J486" s="2">
        <v>0</v>
      </c>
      <c r="K486" s="41"/>
      <c r="M486" s="3"/>
      <c r="N486" s="2">
        <v>0</v>
      </c>
      <c r="O486" s="2">
        <v>0</v>
      </c>
      <c r="P486" s="6">
        <v>0</v>
      </c>
      <c r="Q486" s="6">
        <v>0</v>
      </c>
      <c r="R486" s="2">
        <v>7.8125E-3</v>
      </c>
      <c r="T486" s="41">
        <v>7</v>
      </c>
      <c r="Y486" s="7"/>
      <c r="AA486" s="8"/>
      <c r="AB486" s="9"/>
      <c r="AE486" s="10"/>
      <c r="AF486" s="11"/>
      <c r="AG486"/>
    </row>
    <row r="487" spans="1:33" x14ac:dyDescent="0.2">
      <c r="A487" s="39" t="s">
        <v>315</v>
      </c>
      <c r="B487" s="5" t="s">
        <v>21</v>
      </c>
      <c r="C487" s="2">
        <v>0.125</v>
      </c>
      <c r="D487" s="3">
        <v>20</v>
      </c>
      <c r="E487" s="40" t="s">
        <v>100</v>
      </c>
      <c r="F487" s="2">
        <v>0.1875</v>
      </c>
      <c r="G487" s="2">
        <v>0</v>
      </c>
      <c r="H487" s="40"/>
      <c r="I487" s="2"/>
      <c r="J487" s="2">
        <v>0</v>
      </c>
      <c r="K487" s="41"/>
      <c r="M487" s="3"/>
      <c r="N487" s="2">
        <v>0</v>
      </c>
      <c r="O487" s="2">
        <v>0</v>
      </c>
      <c r="P487" s="6">
        <v>0</v>
      </c>
      <c r="Q487" s="6">
        <v>0</v>
      </c>
      <c r="R487" s="2">
        <v>2.34375E-2</v>
      </c>
      <c r="T487" s="41">
        <v>7</v>
      </c>
      <c r="Y487" s="7"/>
      <c r="AA487" s="8"/>
      <c r="AB487" s="9"/>
      <c r="AE487" s="10"/>
      <c r="AF487" s="11"/>
      <c r="AG487"/>
    </row>
    <row r="488" spans="1:33" x14ac:dyDescent="0.2">
      <c r="A488" s="39" t="s">
        <v>316</v>
      </c>
      <c r="B488" s="5" t="s">
        <v>21</v>
      </c>
      <c r="C488" s="2">
        <v>4.1666670000000003E-2</v>
      </c>
      <c r="D488" s="3">
        <v>6.6666670000000003</v>
      </c>
      <c r="E488" s="40" t="s">
        <v>192</v>
      </c>
      <c r="F488" s="2">
        <v>0.1875</v>
      </c>
      <c r="G488" s="2">
        <v>0</v>
      </c>
      <c r="H488" s="40"/>
      <c r="I488" s="2"/>
      <c r="J488" s="2">
        <v>0</v>
      </c>
      <c r="K488" s="41"/>
      <c r="M488" s="3"/>
      <c r="N488" s="2">
        <v>0</v>
      </c>
      <c r="O488" s="2">
        <v>0</v>
      </c>
      <c r="P488" s="6">
        <v>0</v>
      </c>
      <c r="Q488" s="6">
        <v>0</v>
      </c>
      <c r="R488" s="2">
        <v>7.8125E-3</v>
      </c>
      <c r="T488" s="41">
        <v>7</v>
      </c>
      <c r="Y488" s="7"/>
      <c r="AA488" s="8"/>
      <c r="AB488" s="9"/>
      <c r="AE488" s="10"/>
      <c r="AF488" s="11"/>
      <c r="AG488"/>
    </row>
    <row r="489" spans="1:33" x14ac:dyDescent="0.2">
      <c r="A489" s="39" t="s">
        <v>245</v>
      </c>
      <c r="B489" s="5" t="s">
        <v>21</v>
      </c>
      <c r="C489" s="2">
        <v>0.125</v>
      </c>
      <c r="D489" s="3">
        <v>20</v>
      </c>
      <c r="E489" s="40" t="s">
        <v>158</v>
      </c>
      <c r="F489" s="2">
        <v>0.1875</v>
      </c>
      <c r="G489" s="2">
        <v>0</v>
      </c>
      <c r="H489" s="40"/>
      <c r="I489" s="2"/>
      <c r="J489" s="2">
        <v>0</v>
      </c>
      <c r="K489" s="41"/>
      <c r="M489" s="3"/>
      <c r="N489" s="2">
        <v>0</v>
      </c>
      <c r="O489" s="2">
        <v>0</v>
      </c>
      <c r="P489" s="6">
        <v>0</v>
      </c>
      <c r="Q489" s="6">
        <v>0</v>
      </c>
      <c r="R489" s="2">
        <v>2.34375E-2</v>
      </c>
      <c r="T489" s="41">
        <v>7</v>
      </c>
      <c r="Y489" s="7"/>
      <c r="AA489" s="8"/>
      <c r="AB489" s="9"/>
      <c r="AE489" s="10"/>
      <c r="AF489" s="11"/>
      <c r="AG489"/>
    </row>
    <row r="490" spans="1:33" x14ac:dyDescent="0.2">
      <c r="A490" s="39" t="s">
        <v>247</v>
      </c>
      <c r="B490" s="5" t="s">
        <v>21</v>
      </c>
      <c r="C490" s="2">
        <v>4.1666670000000003E-2</v>
      </c>
      <c r="D490" s="3">
        <v>6.6666670000000003</v>
      </c>
      <c r="E490" s="40" t="s">
        <v>317</v>
      </c>
      <c r="F490" s="2">
        <v>0.15</v>
      </c>
      <c r="G490" s="2">
        <v>0</v>
      </c>
      <c r="H490" s="40"/>
      <c r="I490" s="2"/>
      <c r="J490" s="2">
        <v>0</v>
      </c>
      <c r="K490" s="41"/>
      <c r="M490" s="3"/>
      <c r="N490" s="2">
        <v>0</v>
      </c>
      <c r="O490" s="2">
        <v>0</v>
      </c>
      <c r="P490" s="6">
        <v>0</v>
      </c>
      <c r="Q490" s="6">
        <v>0</v>
      </c>
      <c r="R490" s="2">
        <v>6.2500000000000003E-3</v>
      </c>
      <c r="T490" s="41">
        <v>7</v>
      </c>
      <c r="Y490" s="7"/>
      <c r="AA490" s="8"/>
      <c r="AB490" s="9"/>
      <c r="AE490" s="10"/>
      <c r="AF490" s="11"/>
      <c r="AG490"/>
    </row>
    <row r="491" spans="1:33" x14ac:dyDescent="0.2">
      <c r="A491" s="39" t="s">
        <v>194</v>
      </c>
      <c r="B491" s="5" t="s">
        <v>21</v>
      </c>
      <c r="C491" s="2">
        <v>6.25E-2</v>
      </c>
      <c r="D491" s="3">
        <v>10</v>
      </c>
      <c r="E491" s="40" t="s">
        <v>33</v>
      </c>
      <c r="F491" s="2">
        <v>0.16666666999999999</v>
      </c>
      <c r="G491" s="2">
        <v>0</v>
      </c>
      <c r="H491" s="40"/>
      <c r="I491" s="2"/>
      <c r="J491" s="2">
        <v>0</v>
      </c>
      <c r="K491" s="41"/>
      <c r="M491" s="3"/>
      <c r="N491" s="2">
        <v>0</v>
      </c>
      <c r="O491" s="2">
        <v>0</v>
      </c>
      <c r="P491" s="6">
        <v>0</v>
      </c>
      <c r="Q491" s="6">
        <v>0</v>
      </c>
      <c r="R491" s="2">
        <v>1.0416669999999999E-2</v>
      </c>
      <c r="T491" s="41">
        <v>7</v>
      </c>
      <c r="Y491" s="7"/>
      <c r="AA491" s="8"/>
      <c r="AB491" s="9"/>
      <c r="AE491" s="10"/>
      <c r="AF491" s="11"/>
      <c r="AG491"/>
    </row>
    <row r="492" spans="1:33" x14ac:dyDescent="0.2">
      <c r="A492" s="39" t="s">
        <v>318</v>
      </c>
      <c r="B492" s="5" t="s">
        <v>21</v>
      </c>
      <c r="C492" s="2">
        <v>6.25E-2</v>
      </c>
      <c r="D492" s="3">
        <v>10</v>
      </c>
      <c r="E492" s="40" t="s">
        <v>62</v>
      </c>
      <c r="F492" s="2">
        <v>0.16666666999999999</v>
      </c>
      <c r="G492" s="2">
        <v>0</v>
      </c>
      <c r="H492" s="40"/>
      <c r="I492" s="2"/>
      <c r="J492" s="2">
        <v>0</v>
      </c>
      <c r="K492" s="41"/>
      <c r="M492" s="3"/>
      <c r="N492" s="2">
        <v>0</v>
      </c>
      <c r="O492" s="2">
        <v>0</v>
      </c>
      <c r="P492" s="6">
        <v>0</v>
      </c>
      <c r="Q492" s="6">
        <v>0</v>
      </c>
      <c r="R492" s="2">
        <v>1.0416669999999999E-2</v>
      </c>
      <c r="T492" s="41">
        <v>7</v>
      </c>
      <c r="Y492" s="7"/>
      <c r="AA492" s="8"/>
      <c r="AB492" s="9"/>
      <c r="AE492" s="10"/>
      <c r="AF492" s="11"/>
      <c r="AG492"/>
    </row>
    <row r="493" spans="1:33" x14ac:dyDescent="0.2">
      <c r="A493" s="39" t="s">
        <v>206</v>
      </c>
      <c r="B493" s="5" t="s">
        <v>21</v>
      </c>
      <c r="C493" s="2">
        <v>4.1666660000000001E-2</v>
      </c>
      <c r="D493" s="3">
        <v>6.6666660000000002</v>
      </c>
      <c r="E493" s="40" t="s">
        <v>317</v>
      </c>
      <c r="F493" s="2">
        <v>0.15</v>
      </c>
      <c r="G493" s="2">
        <v>0</v>
      </c>
      <c r="H493" s="40"/>
      <c r="I493" s="2"/>
      <c r="J493" s="2">
        <v>0</v>
      </c>
      <c r="K493" s="41"/>
      <c r="M493" s="3"/>
      <c r="N493" s="2">
        <v>0</v>
      </c>
      <c r="O493" s="2">
        <v>0</v>
      </c>
      <c r="P493" s="6">
        <v>0</v>
      </c>
      <c r="Q493" s="6">
        <v>0</v>
      </c>
      <c r="R493" s="2">
        <v>6.2500000000000003E-3</v>
      </c>
      <c r="T493" s="41">
        <v>7</v>
      </c>
      <c r="Y493" s="7"/>
      <c r="AA493" s="8"/>
      <c r="AB493" s="9"/>
      <c r="AE493" s="10"/>
      <c r="AF493" s="11"/>
      <c r="AG493"/>
    </row>
    <row r="494" spans="1:33" x14ac:dyDescent="0.2">
      <c r="A494" s="39" t="s">
        <v>212</v>
      </c>
      <c r="B494" s="5" t="s">
        <v>21</v>
      </c>
      <c r="C494" s="2">
        <v>4.1666670000000003E-2</v>
      </c>
      <c r="D494" s="3">
        <v>6.6666670000000003</v>
      </c>
      <c r="E494" s="40" t="s">
        <v>317</v>
      </c>
      <c r="F494" s="2">
        <v>0.15</v>
      </c>
      <c r="G494" s="2">
        <v>0</v>
      </c>
      <c r="H494" s="40"/>
      <c r="I494" s="2"/>
      <c r="J494" s="2">
        <v>0</v>
      </c>
      <c r="K494" s="41"/>
      <c r="M494" s="3"/>
      <c r="N494" s="2">
        <v>0</v>
      </c>
      <c r="O494" s="2">
        <v>0</v>
      </c>
      <c r="P494" s="6">
        <v>0</v>
      </c>
      <c r="Q494" s="6">
        <v>0</v>
      </c>
      <c r="R494" s="2">
        <v>6.2500000000000003E-3</v>
      </c>
      <c r="T494" s="41">
        <v>7</v>
      </c>
      <c r="Y494" s="7"/>
      <c r="AA494" s="8"/>
      <c r="AB494" s="9"/>
      <c r="AE494" s="10"/>
      <c r="AF494" s="11"/>
      <c r="AG494"/>
    </row>
    <row r="495" spans="1:33" x14ac:dyDescent="0.2">
      <c r="A495" s="39" t="s">
        <v>319</v>
      </c>
      <c r="B495" s="5" t="s">
        <v>21</v>
      </c>
      <c r="C495" s="2">
        <v>4.1666670000000003E-2</v>
      </c>
      <c r="D495" s="3">
        <v>6.6666670000000003</v>
      </c>
      <c r="E495" s="40" t="s">
        <v>192</v>
      </c>
      <c r="F495" s="2">
        <v>0.1875</v>
      </c>
      <c r="G495" s="2">
        <v>0</v>
      </c>
      <c r="H495" s="40"/>
      <c r="I495" s="2"/>
      <c r="J495" s="2">
        <v>0</v>
      </c>
      <c r="K495" s="41"/>
      <c r="M495" s="3"/>
      <c r="N495" s="2">
        <v>0</v>
      </c>
      <c r="O495" s="2">
        <v>0</v>
      </c>
      <c r="P495" s="6">
        <v>0</v>
      </c>
      <c r="Q495" s="6">
        <v>0</v>
      </c>
      <c r="R495" s="2">
        <v>7.8125E-3</v>
      </c>
      <c r="T495" s="41">
        <v>7</v>
      </c>
      <c r="Y495" s="7"/>
      <c r="AA495" s="8"/>
      <c r="AB495" s="9"/>
      <c r="AE495" s="10"/>
      <c r="AF495" s="11"/>
      <c r="AG495"/>
    </row>
    <row r="496" spans="1:33" x14ac:dyDescent="0.2">
      <c r="A496" s="39" t="s">
        <v>320</v>
      </c>
      <c r="B496" s="5" t="s">
        <v>21</v>
      </c>
      <c r="C496" s="2">
        <v>8.3333299999999999E-3</v>
      </c>
      <c r="D496" s="3">
        <v>1.3333330000000001</v>
      </c>
      <c r="E496" s="40" t="s">
        <v>28</v>
      </c>
      <c r="F496" s="2">
        <v>0.1875</v>
      </c>
      <c r="G496" s="2">
        <v>0</v>
      </c>
      <c r="H496" s="40"/>
      <c r="I496" s="2"/>
      <c r="J496" s="2">
        <v>0</v>
      </c>
      <c r="K496" s="41"/>
      <c r="M496" s="3"/>
      <c r="N496" s="2">
        <v>0</v>
      </c>
      <c r="O496" s="2">
        <v>0</v>
      </c>
      <c r="P496" s="6">
        <v>0</v>
      </c>
      <c r="Q496" s="6">
        <v>0</v>
      </c>
      <c r="R496" s="2">
        <v>1.5625000000000001E-3</v>
      </c>
      <c r="T496" s="41">
        <v>7</v>
      </c>
      <c r="Y496" s="7"/>
      <c r="AA496" s="8"/>
      <c r="AB496" s="9"/>
      <c r="AE496" s="10"/>
      <c r="AF496" s="11"/>
      <c r="AG496"/>
    </row>
    <row r="497" spans="1:33" x14ac:dyDescent="0.2">
      <c r="A497" s="39" t="s">
        <v>321</v>
      </c>
      <c r="B497" s="5" t="s">
        <v>21</v>
      </c>
      <c r="C497" s="2">
        <v>6.25E-2</v>
      </c>
      <c r="D497" s="3">
        <v>10</v>
      </c>
      <c r="E497" s="40" t="s">
        <v>144</v>
      </c>
      <c r="F497" s="2">
        <v>0.16666666999999999</v>
      </c>
      <c r="G497" s="2">
        <v>0</v>
      </c>
      <c r="H497" s="40"/>
      <c r="I497" s="2"/>
      <c r="J497" s="2">
        <v>0</v>
      </c>
      <c r="K497" s="41"/>
      <c r="M497" s="3"/>
      <c r="N497" s="2">
        <v>0</v>
      </c>
      <c r="O497" s="2">
        <v>0</v>
      </c>
      <c r="P497" s="6">
        <v>0</v>
      </c>
      <c r="Q497" s="6">
        <v>0</v>
      </c>
      <c r="R497" s="2">
        <v>1.0416669999999999E-2</v>
      </c>
      <c r="T497" s="41">
        <v>7</v>
      </c>
      <c r="Y497" s="7"/>
      <c r="AA497" s="8"/>
      <c r="AB497" s="9"/>
      <c r="AE497" s="10"/>
      <c r="AF497" s="11"/>
      <c r="AG497"/>
    </row>
    <row r="498" spans="1:33" x14ac:dyDescent="0.2">
      <c r="A498" s="39" t="s">
        <v>119</v>
      </c>
      <c r="B498" s="5" t="s">
        <v>13</v>
      </c>
      <c r="C498" s="2"/>
      <c r="D498" s="3"/>
      <c r="E498" s="40"/>
      <c r="F498" s="2"/>
      <c r="G498" s="2">
        <v>0</v>
      </c>
      <c r="H498" s="40"/>
      <c r="I498" s="2"/>
      <c r="J498" s="2">
        <v>0</v>
      </c>
      <c r="K498" s="41"/>
      <c r="M498" s="3">
        <v>0</v>
      </c>
      <c r="N498" s="2">
        <v>0</v>
      </c>
      <c r="O498" s="2">
        <v>0</v>
      </c>
      <c r="P498" s="6">
        <v>0</v>
      </c>
      <c r="Q498" s="6">
        <v>0</v>
      </c>
      <c r="R498" s="2">
        <v>0</v>
      </c>
      <c r="T498" s="41">
        <v>7</v>
      </c>
      <c r="Y498" s="7"/>
      <c r="AA498" s="8"/>
      <c r="AB498" s="9"/>
      <c r="AE498" s="10"/>
      <c r="AF498" s="11"/>
      <c r="AG498"/>
    </row>
    <row r="499" spans="1:33" x14ac:dyDescent="0.2">
      <c r="A499" s="39" t="s">
        <v>29</v>
      </c>
      <c r="B499" s="5" t="s">
        <v>15</v>
      </c>
      <c r="C499" s="2"/>
      <c r="D499" s="3"/>
      <c r="E499" s="40" t="s">
        <v>322</v>
      </c>
      <c r="F499" s="2"/>
      <c r="G499" s="2">
        <v>0</v>
      </c>
      <c r="H499" s="40"/>
      <c r="I499" s="2"/>
      <c r="J499" s="2">
        <v>0</v>
      </c>
      <c r="K499" s="41" t="s">
        <v>30</v>
      </c>
      <c r="L499" s="2">
        <v>0.1875</v>
      </c>
      <c r="M499" s="3">
        <v>30</v>
      </c>
      <c r="N499" s="2">
        <v>0</v>
      </c>
      <c r="O499" s="2">
        <v>0</v>
      </c>
      <c r="P499" s="6">
        <v>3.3333330000000001E-2</v>
      </c>
      <c r="Q499" s="6">
        <v>6.25E-2</v>
      </c>
      <c r="R499" s="2">
        <v>3.9062E-4</v>
      </c>
      <c r="T499" s="41">
        <v>7</v>
      </c>
      <c r="Y499" s="7"/>
      <c r="AA499" s="8"/>
      <c r="AB499" s="9"/>
      <c r="AE499" s="10"/>
      <c r="AF499" s="11"/>
      <c r="AG499"/>
    </row>
    <row r="500" spans="1:33" x14ac:dyDescent="0.2">
      <c r="A500" s="39" t="s">
        <v>36</v>
      </c>
      <c r="B500" s="5" t="s">
        <v>15</v>
      </c>
      <c r="C500" s="2"/>
      <c r="D500" s="3"/>
      <c r="E500" s="40" t="s">
        <v>322</v>
      </c>
      <c r="F500" s="2"/>
      <c r="G500" s="2">
        <v>0</v>
      </c>
      <c r="H500" s="40"/>
      <c r="I500" s="2"/>
      <c r="J500" s="2">
        <v>0</v>
      </c>
      <c r="K500" s="41" t="s">
        <v>141</v>
      </c>
      <c r="L500" s="2">
        <v>0.1875</v>
      </c>
      <c r="M500" s="3">
        <v>30</v>
      </c>
      <c r="N500" s="2">
        <v>0</v>
      </c>
      <c r="O500" s="2">
        <v>0</v>
      </c>
      <c r="P500" s="6">
        <v>3.3333330000000001E-2</v>
      </c>
      <c r="Q500" s="6">
        <v>2.7799999999999998E-2</v>
      </c>
      <c r="R500" s="2">
        <v>1.7374999999999999E-4</v>
      </c>
      <c r="T500" s="41">
        <v>7</v>
      </c>
      <c r="Y500" s="7"/>
      <c r="AA500" s="8"/>
      <c r="AB500" s="9"/>
      <c r="AE500" s="10"/>
      <c r="AF500" s="11"/>
      <c r="AG500"/>
    </row>
    <row r="501" spans="1:33" x14ac:dyDescent="0.2">
      <c r="A501" s="39" t="s">
        <v>269</v>
      </c>
      <c r="B501" s="5" t="s">
        <v>15</v>
      </c>
      <c r="C501" s="2"/>
      <c r="D501" s="3"/>
      <c r="E501" s="40" t="s">
        <v>323</v>
      </c>
      <c r="F501" s="2"/>
      <c r="G501" s="2">
        <v>0</v>
      </c>
      <c r="H501" s="40"/>
      <c r="I501" s="2"/>
      <c r="J501" s="2">
        <v>0</v>
      </c>
      <c r="K501" s="41" t="s">
        <v>32</v>
      </c>
      <c r="L501" s="2">
        <v>0.14583333000000001</v>
      </c>
      <c r="M501" s="3">
        <v>23.333333</v>
      </c>
      <c r="N501" s="2">
        <v>0</v>
      </c>
      <c r="O501" s="2">
        <v>0</v>
      </c>
      <c r="P501" s="6">
        <v>3.3333330000000001E-2</v>
      </c>
      <c r="Q501" s="6">
        <v>1.5E-3</v>
      </c>
      <c r="R501" s="2">
        <v>7.2899999999999997E-6</v>
      </c>
      <c r="S501" s="4" t="s">
        <v>271</v>
      </c>
      <c r="T501" s="41">
        <v>7</v>
      </c>
      <c r="Y501" s="7"/>
      <c r="AA501" s="8"/>
      <c r="AB501" s="9"/>
      <c r="AE501" s="10"/>
      <c r="AF501" s="11"/>
      <c r="AG501"/>
    </row>
    <row r="502" spans="1:33" x14ac:dyDescent="0.2">
      <c r="A502" s="39" t="s">
        <v>324</v>
      </c>
      <c r="B502" s="5" t="s">
        <v>15</v>
      </c>
      <c r="C502" s="2"/>
      <c r="D502" s="3"/>
      <c r="E502" s="40" t="s">
        <v>325</v>
      </c>
      <c r="F502" s="2"/>
      <c r="G502" s="2">
        <v>0</v>
      </c>
      <c r="H502" s="40"/>
      <c r="I502" s="2"/>
      <c r="J502" s="2">
        <v>0</v>
      </c>
      <c r="K502" s="41" t="s">
        <v>34</v>
      </c>
      <c r="L502" s="2">
        <v>0.54166667000000002</v>
      </c>
      <c r="M502" s="3">
        <v>86.666667000000004</v>
      </c>
      <c r="N502" s="2">
        <v>0</v>
      </c>
      <c r="O502" s="2">
        <v>0</v>
      </c>
      <c r="P502" s="6">
        <v>5.0000000000000001E-3</v>
      </c>
      <c r="Q502" s="6">
        <v>0.5</v>
      </c>
      <c r="R502" s="2">
        <v>1.35417E-3</v>
      </c>
      <c r="T502" s="41">
        <v>7</v>
      </c>
      <c r="Y502" s="7"/>
      <c r="AA502" s="8"/>
      <c r="AB502" s="9"/>
      <c r="AE502" s="10"/>
      <c r="AF502" s="11"/>
      <c r="AG502"/>
    </row>
    <row r="503" spans="1:33" x14ac:dyDescent="0.2">
      <c r="A503" s="39" t="s">
        <v>326</v>
      </c>
      <c r="B503" s="5" t="s">
        <v>15</v>
      </c>
      <c r="C503" s="2"/>
      <c r="D503" s="3"/>
      <c r="E503" s="40" t="s">
        <v>317</v>
      </c>
      <c r="F503" s="2"/>
      <c r="G503" s="2">
        <v>0</v>
      </c>
      <c r="H503" s="40"/>
      <c r="I503" s="2"/>
      <c r="J503" s="2">
        <v>0</v>
      </c>
      <c r="K503" s="41" t="s">
        <v>115</v>
      </c>
      <c r="L503" s="2">
        <v>0.125</v>
      </c>
      <c r="M503" s="3">
        <v>20</v>
      </c>
      <c r="N503" s="2">
        <v>0</v>
      </c>
      <c r="O503" s="2">
        <v>0</v>
      </c>
      <c r="P503" s="6">
        <v>0.01</v>
      </c>
      <c r="Q503" s="6">
        <v>0.3</v>
      </c>
      <c r="R503" s="2">
        <v>3.7500000000000001E-4</v>
      </c>
      <c r="T503" s="41">
        <v>7</v>
      </c>
      <c r="Y503" s="7"/>
      <c r="AA503" s="8"/>
      <c r="AB503" s="9"/>
      <c r="AE503" s="10"/>
      <c r="AF503" s="11"/>
      <c r="AG503"/>
    </row>
    <row r="504" spans="1:33" x14ac:dyDescent="0.2">
      <c r="A504" s="39" t="s">
        <v>274</v>
      </c>
      <c r="B504" s="5" t="s">
        <v>15</v>
      </c>
      <c r="C504" s="2"/>
      <c r="D504" s="3"/>
      <c r="E504" s="40" t="s">
        <v>322</v>
      </c>
      <c r="F504" s="2"/>
      <c r="G504" s="2">
        <v>0</v>
      </c>
      <c r="H504" s="40"/>
      <c r="I504" s="2"/>
      <c r="J504" s="2">
        <v>0</v>
      </c>
      <c r="K504" s="41" t="s">
        <v>30</v>
      </c>
      <c r="L504" s="2">
        <v>0.1875</v>
      </c>
      <c r="M504" s="3">
        <v>30</v>
      </c>
      <c r="N504" s="2">
        <v>0</v>
      </c>
      <c r="O504" s="2">
        <v>0</v>
      </c>
      <c r="P504" s="6">
        <v>3.3333330000000001E-2</v>
      </c>
      <c r="Q504" s="6">
        <v>3.125E-2</v>
      </c>
      <c r="R504" s="2">
        <v>1.9531E-4</v>
      </c>
      <c r="T504" s="41">
        <v>7</v>
      </c>
      <c r="Y504" s="7"/>
      <c r="AA504" s="8"/>
      <c r="AB504" s="9"/>
      <c r="AE504" s="10"/>
      <c r="AF504" s="11"/>
      <c r="AG504"/>
    </row>
    <row r="505" spans="1:33" x14ac:dyDescent="0.2">
      <c r="A505" s="39" t="s">
        <v>275</v>
      </c>
      <c r="B505" s="5" t="s">
        <v>15</v>
      </c>
      <c r="C505" s="2"/>
      <c r="D505" s="3"/>
      <c r="E505" s="40" t="s">
        <v>323</v>
      </c>
      <c r="F505" s="2"/>
      <c r="G505" s="2">
        <v>0</v>
      </c>
      <c r="H505" s="40"/>
      <c r="I505" s="2"/>
      <c r="J505" s="2">
        <v>0</v>
      </c>
      <c r="K505" s="41" t="s">
        <v>327</v>
      </c>
      <c r="L505" s="2">
        <v>0.14583333000000001</v>
      </c>
      <c r="M505" s="3">
        <v>23.333333</v>
      </c>
      <c r="N505" s="2">
        <v>0</v>
      </c>
      <c r="O505" s="2">
        <v>0</v>
      </c>
      <c r="P505" s="6">
        <v>3.3333330000000001E-2</v>
      </c>
      <c r="Q505" s="6">
        <v>0.05</v>
      </c>
      <c r="R505" s="2">
        <v>2.4305999999999999E-4</v>
      </c>
      <c r="S505" s="4" t="s">
        <v>151</v>
      </c>
      <c r="T505" s="41">
        <v>7</v>
      </c>
      <c r="Y505" s="7"/>
      <c r="AA505" s="8"/>
      <c r="AB505" s="9"/>
      <c r="AE505" s="10"/>
      <c r="AF505" s="11"/>
      <c r="AG505"/>
    </row>
    <row r="506" spans="1:33" x14ac:dyDescent="0.2">
      <c r="A506" s="39" t="s">
        <v>328</v>
      </c>
      <c r="B506" s="5" t="s">
        <v>15</v>
      </c>
      <c r="C506" s="2"/>
      <c r="D506" s="3"/>
      <c r="E506" s="40" t="s">
        <v>317</v>
      </c>
      <c r="F506" s="2"/>
      <c r="G506" s="2">
        <v>0</v>
      </c>
      <c r="H506" s="40"/>
      <c r="I506" s="2"/>
      <c r="J506" s="2">
        <v>0</v>
      </c>
      <c r="K506" s="41" t="s">
        <v>115</v>
      </c>
      <c r="L506" s="2">
        <v>0.125</v>
      </c>
      <c r="M506" s="3">
        <v>20</v>
      </c>
      <c r="N506" s="2">
        <v>0</v>
      </c>
      <c r="O506" s="2">
        <v>0</v>
      </c>
      <c r="P506" s="6">
        <v>0.01</v>
      </c>
      <c r="Q506" s="6">
        <v>0.15</v>
      </c>
      <c r="R506" s="2">
        <v>1.875E-4</v>
      </c>
      <c r="T506" s="41">
        <v>7</v>
      </c>
      <c r="Y506" s="7"/>
      <c r="AA506" s="8"/>
      <c r="AB506" s="9"/>
      <c r="AE506" s="10"/>
      <c r="AF506" s="11"/>
      <c r="AG506"/>
    </row>
    <row r="507" spans="1:33" x14ac:dyDescent="0.2">
      <c r="A507" s="39" t="s">
        <v>69</v>
      </c>
      <c r="B507" s="5" t="s">
        <v>15</v>
      </c>
      <c r="C507" s="2"/>
      <c r="D507" s="3"/>
      <c r="E507" s="40" t="s">
        <v>322</v>
      </c>
      <c r="F507" s="2"/>
      <c r="G507" s="2">
        <v>0</v>
      </c>
      <c r="H507" s="40"/>
      <c r="I507" s="2"/>
      <c r="J507" s="2">
        <v>0</v>
      </c>
      <c r="K507" s="41" t="s">
        <v>31</v>
      </c>
      <c r="L507" s="2">
        <v>0.1875</v>
      </c>
      <c r="M507" s="3">
        <v>30</v>
      </c>
      <c r="N507" s="2">
        <v>0</v>
      </c>
      <c r="O507" s="2">
        <v>0</v>
      </c>
      <c r="P507" s="6">
        <v>3.3333330000000001E-2</v>
      </c>
      <c r="Q507" s="6">
        <v>0.38884999999999997</v>
      </c>
      <c r="R507" s="2">
        <v>2.4303100000000002E-3</v>
      </c>
      <c r="T507" s="41">
        <v>7</v>
      </c>
      <c r="Y507" s="7"/>
      <c r="AA507" s="8"/>
      <c r="AB507" s="9"/>
      <c r="AE507" s="10"/>
      <c r="AF507" s="11"/>
      <c r="AG507"/>
    </row>
    <row r="508" spans="1:33" x14ac:dyDescent="0.2">
      <c r="A508" s="39" t="s">
        <v>277</v>
      </c>
      <c r="B508" s="5" t="s">
        <v>15</v>
      </c>
      <c r="C508" s="2"/>
      <c r="D508" s="3"/>
      <c r="E508" s="40" t="s">
        <v>323</v>
      </c>
      <c r="F508" s="2"/>
      <c r="G508" s="2">
        <v>0</v>
      </c>
      <c r="H508" s="40"/>
      <c r="I508" s="2"/>
      <c r="J508" s="2">
        <v>0</v>
      </c>
      <c r="K508" s="41" t="s">
        <v>327</v>
      </c>
      <c r="L508" s="2">
        <v>0.14583333000000001</v>
      </c>
      <c r="M508" s="3">
        <v>23.333333</v>
      </c>
      <c r="N508" s="2">
        <v>0</v>
      </c>
      <c r="O508" s="2">
        <v>0</v>
      </c>
      <c r="P508" s="6">
        <v>3.3333330000000001E-2</v>
      </c>
      <c r="Q508" s="6">
        <v>0.14849999999999999</v>
      </c>
      <c r="R508" s="2">
        <v>7.2187E-4</v>
      </c>
      <c r="S508" s="4" t="s">
        <v>271</v>
      </c>
      <c r="T508" s="41">
        <v>7</v>
      </c>
      <c r="Y508" s="7"/>
      <c r="AA508" s="8"/>
      <c r="AB508" s="9"/>
      <c r="AE508" s="10"/>
      <c r="AF508" s="11"/>
      <c r="AG508"/>
    </row>
    <row r="509" spans="1:33" x14ac:dyDescent="0.2">
      <c r="A509" s="39" t="s">
        <v>279</v>
      </c>
      <c r="B509" s="5" t="s">
        <v>15</v>
      </c>
      <c r="C509" s="2"/>
      <c r="D509" s="3"/>
      <c r="E509" s="40" t="s">
        <v>322</v>
      </c>
      <c r="F509" s="2"/>
      <c r="G509" s="2">
        <v>0</v>
      </c>
      <c r="H509" s="40"/>
      <c r="I509" s="2"/>
      <c r="J509" s="2">
        <v>0</v>
      </c>
      <c r="K509" s="41" t="s">
        <v>30</v>
      </c>
      <c r="L509" s="2">
        <v>0.1875</v>
      </c>
      <c r="M509" s="3">
        <v>30</v>
      </c>
      <c r="N509" s="2">
        <v>0</v>
      </c>
      <c r="O509" s="2">
        <v>0</v>
      </c>
      <c r="P509" s="6">
        <v>3.3333330000000001E-2</v>
      </c>
      <c r="Q509" s="6">
        <v>0.125</v>
      </c>
      <c r="R509" s="2">
        <v>7.8125000000000004E-4</v>
      </c>
      <c r="T509" s="41">
        <v>7</v>
      </c>
      <c r="Y509" s="7"/>
      <c r="AA509" s="8"/>
      <c r="AB509" s="9"/>
      <c r="AE509" s="10"/>
      <c r="AF509" s="11"/>
      <c r="AG509"/>
    </row>
    <row r="510" spans="1:33" x14ac:dyDescent="0.2">
      <c r="A510" s="39" t="s">
        <v>329</v>
      </c>
      <c r="B510" s="5" t="s">
        <v>15</v>
      </c>
      <c r="C510" s="2"/>
      <c r="D510" s="3"/>
      <c r="E510" s="40" t="s">
        <v>322</v>
      </c>
      <c r="F510" s="2"/>
      <c r="G510" s="2">
        <v>0</v>
      </c>
      <c r="H510" s="40"/>
      <c r="I510" s="2"/>
      <c r="J510" s="2">
        <v>0</v>
      </c>
      <c r="K510" s="41" t="s">
        <v>147</v>
      </c>
      <c r="L510" s="2">
        <v>0.1875</v>
      </c>
      <c r="M510" s="3">
        <v>30</v>
      </c>
      <c r="N510" s="2">
        <v>0</v>
      </c>
      <c r="O510" s="2">
        <v>0</v>
      </c>
      <c r="P510" s="6">
        <v>1.4999999999999999E-2</v>
      </c>
      <c r="Q510" s="6">
        <v>0.125</v>
      </c>
      <c r="R510" s="2">
        <v>3.5156E-4</v>
      </c>
      <c r="T510" s="41">
        <v>7</v>
      </c>
      <c r="Y510" s="7"/>
      <c r="AA510" s="8"/>
      <c r="AB510" s="9"/>
      <c r="AE510" s="10"/>
      <c r="AF510" s="11"/>
      <c r="AG510"/>
    </row>
    <row r="511" spans="1:33" x14ac:dyDescent="0.2">
      <c r="A511" s="39" t="s">
        <v>316</v>
      </c>
      <c r="B511" s="5" t="s">
        <v>15</v>
      </c>
      <c r="C511" s="2"/>
      <c r="D511" s="3"/>
      <c r="E511" s="40" t="s">
        <v>317</v>
      </c>
      <c r="F511" s="2"/>
      <c r="G511" s="2">
        <v>0</v>
      </c>
      <c r="H511" s="40"/>
      <c r="I511" s="2"/>
      <c r="J511" s="2">
        <v>0</v>
      </c>
      <c r="K511" s="41"/>
      <c r="L511" s="2">
        <v>0.125</v>
      </c>
      <c r="M511" s="3">
        <v>20</v>
      </c>
      <c r="N511" s="2">
        <v>0</v>
      </c>
      <c r="O511" s="2">
        <v>0</v>
      </c>
      <c r="P511" s="6">
        <v>0.01</v>
      </c>
      <c r="Q511" s="6">
        <v>0.9</v>
      </c>
      <c r="R511" s="2">
        <v>1.1249999999999999E-3</v>
      </c>
      <c r="T511" s="41">
        <v>7</v>
      </c>
      <c r="Y511" s="7"/>
      <c r="AA511" s="8"/>
      <c r="AB511" s="9"/>
      <c r="AE511" s="10"/>
      <c r="AF511" s="11"/>
      <c r="AG511"/>
    </row>
    <row r="512" spans="1:33" x14ac:dyDescent="0.2">
      <c r="A512" s="39" t="s">
        <v>85</v>
      </c>
      <c r="B512" s="5" t="s">
        <v>15</v>
      </c>
      <c r="C512" s="2"/>
      <c r="D512" s="3"/>
      <c r="E512" s="40" t="s">
        <v>317</v>
      </c>
      <c r="F512" s="2"/>
      <c r="G512" s="2">
        <v>0</v>
      </c>
      <c r="H512" s="40"/>
      <c r="I512" s="2"/>
      <c r="J512" s="2">
        <v>0</v>
      </c>
      <c r="K512" s="41" t="s">
        <v>330</v>
      </c>
      <c r="L512" s="2">
        <v>0.125</v>
      </c>
      <c r="M512" s="3">
        <v>20</v>
      </c>
      <c r="N512" s="2">
        <v>0</v>
      </c>
      <c r="O512" s="2">
        <v>0</v>
      </c>
      <c r="P512" s="6">
        <v>0.01</v>
      </c>
      <c r="Q512" s="6">
        <v>0.6</v>
      </c>
      <c r="R512" s="2">
        <v>7.5000000000000002E-4</v>
      </c>
      <c r="T512" s="41">
        <v>7</v>
      </c>
      <c r="Y512" s="7"/>
      <c r="AA512" s="8"/>
      <c r="AB512" s="9"/>
      <c r="AE512" s="10"/>
      <c r="AF512" s="11"/>
      <c r="AG512"/>
    </row>
    <row r="513" spans="1:33" x14ac:dyDescent="0.2">
      <c r="A513" s="39" t="s">
        <v>331</v>
      </c>
      <c r="B513" s="5" t="s">
        <v>15</v>
      </c>
      <c r="C513" s="2"/>
      <c r="D513" s="3"/>
      <c r="E513" s="40" t="s">
        <v>317</v>
      </c>
      <c r="F513" s="2"/>
      <c r="G513" s="2">
        <v>0</v>
      </c>
      <c r="H513" s="40"/>
      <c r="I513" s="2"/>
      <c r="J513" s="2">
        <v>0</v>
      </c>
      <c r="K513" s="41" t="s">
        <v>115</v>
      </c>
      <c r="L513" s="2">
        <v>0.125</v>
      </c>
      <c r="M513" s="3">
        <v>20</v>
      </c>
      <c r="N513" s="2">
        <v>0</v>
      </c>
      <c r="O513" s="2">
        <v>0</v>
      </c>
      <c r="P513" s="6">
        <v>0.01</v>
      </c>
      <c r="Q513" s="6">
        <v>0.15</v>
      </c>
      <c r="R513" s="2">
        <v>1.875E-4</v>
      </c>
      <c r="T513" s="41">
        <v>7</v>
      </c>
      <c r="Y513" s="7"/>
      <c r="AA513" s="8"/>
      <c r="AB513" s="9"/>
      <c r="AE513" s="10"/>
      <c r="AF513" s="11"/>
      <c r="AG513"/>
    </row>
    <row r="514" spans="1:33" x14ac:dyDescent="0.2">
      <c r="A514" s="39" t="s">
        <v>282</v>
      </c>
      <c r="B514" s="5" t="s">
        <v>15</v>
      </c>
      <c r="C514" s="2"/>
      <c r="D514" s="3"/>
      <c r="E514" s="40" t="s">
        <v>323</v>
      </c>
      <c r="F514" s="2"/>
      <c r="G514" s="2">
        <v>0</v>
      </c>
      <c r="H514" s="40"/>
      <c r="I514" s="2"/>
      <c r="J514" s="2">
        <v>0</v>
      </c>
      <c r="K514" s="41" t="s">
        <v>327</v>
      </c>
      <c r="L514" s="2">
        <v>0.14583333000000001</v>
      </c>
      <c r="M514" s="3">
        <v>23.333333</v>
      </c>
      <c r="N514" s="2">
        <v>0</v>
      </c>
      <c r="O514" s="2">
        <v>0</v>
      </c>
      <c r="P514" s="6">
        <v>3.3333330000000001E-2</v>
      </c>
      <c r="Q514" s="6">
        <v>0.5</v>
      </c>
      <c r="R514" s="2">
        <v>2.43056E-3</v>
      </c>
      <c r="S514" s="4" t="s">
        <v>151</v>
      </c>
      <c r="T514" s="41">
        <v>7</v>
      </c>
      <c r="Y514" s="7"/>
      <c r="AA514" s="8"/>
      <c r="AB514" s="9"/>
      <c r="AE514" s="10"/>
      <c r="AF514" s="11"/>
      <c r="AG514"/>
    </row>
    <row r="515" spans="1:33" x14ac:dyDescent="0.2">
      <c r="A515" s="39" t="s">
        <v>283</v>
      </c>
      <c r="B515" s="5" t="s">
        <v>15</v>
      </c>
      <c r="C515" s="2"/>
      <c r="D515" s="3"/>
      <c r="E515" s="40" t="s">
        <v>323</v>
      </c>
      <c r="F515" s="2"/>
      <c r="G515" s="2">
        <v>0</v>
      </c>
      <c r="H515" s="40"/>
      <c r="I515" s="2"/>
      <c r="J515" s="2">
        <v>0</v>
      </c>
      <c r="K515" s="41" t="s">
        <v>327</v>
      </c>
      <c r="L515" s="2">
        <v>0.14583333000000001</v>
      </c>
      <c r="M515" s="3">
        <v>23.333333</v>
      </c>
      <c r="N515" s="2">
        <v>0</v>
      </c>
      <c r="O515" s="2">
        <v>0</v>
      </c>
      <c r="P515" s="6">
        <v>3.3333330000000001E-2</v>
      </c>
      <c r="Q515" s="6">
        <v>0.15</v>
      </c>
      <c r="R515" s="2">
        <v>7.2917000000000001E-4</v>
      </c>
      <c r="S515" s="4" t="s">
        <v>151</v>
      </c>
      <c r="T515" s="41">
        <v>7</v>
      </c>
      <c r="Y515" s="7"/>
      <c r="AA515" s="8"/>
      <c r="AB515" s="9"/>
      <c r="AE515" s="10"/>
      <c r="AF515" s="11"/>
      <c r="AG515"/>
    </row>
    <row r="516" spans="1:33" x14ac:dyDescent="0.2">
      <c r="A516" s="39" t="s">
        <v>284</v>
      </c>
      <c r="B516" s="5" t="s">
        <v>15</v>
      </c>
      <c r="C516" s="2"/>
      <c r="D516" s="3"/>
      <c r="E516" s="40" t="s">
        <v>322</v>
      </c>
      <c r="F516" s="2"/>
      <c r="G516" s="2">
        <v>0</v>
      </c>
      <c r="H516" s="40"/>
      <c r="I516" s="2"/>
      <c r="J516" s="2">
        <v>0</v>
      </c>
      <c r="K516" s="41" t="s">
        <v>30</v>
      </c>
      <c r="L516" s="2">
        <v>0.1875</v>
      </c>
      <c r="M516" s="3">
        <v>30</v>
      </c>
      <c r="N516" s="2">
        <v>0</v>
      </c>
      <c r="O516" s="2">
        <v>0</v>
      </c>
      <c r="P516" s="6">
        <v>3.3333330000000001E-2</v>
      </c>
      <c r="Q516" s="6">
        <v>3.125E-2</v>
      </c>
      <c r="R516" s="2">
        <v>1.9531E-4</v>
      </c>
      <c r="T516" s="41">
        <v>7</v>
      </c>
      <c r="Y516" s="7"/>
      <c r="AA516" s="8"/>
      <c r="AB516" s="9"/>
      <c r="AE516" s="10"/>
      <c r="AF516" s="11"/>
      <c r="AG516"/>
    </row>
    <row r="517" spans="1:33" x14ac:dyDescent="0.2">
      <c r="A517" s="39" t="s">
        <v>332</v>
      </c>
      <c r="B517" s="5" t="s">
        <v>15</v>
      </c>
      <c r="C517" s="2"/>
      <c r="D517" s="3"/>
      <c r="E517" s="40" t="s">
        <v>317</v>
      </c>
      <c r="F517" s="2"/>
      <c r="G517" s="2">
        <v>0</v>
      </c>
      <c r="H517" s="40"/>
      <c r="I517" s="2"/>
      <c r="J517" s="2">
        <v>0</v>
      </c>
      <c r="K517" s="41" t="s">
        <v>115</v>
      </c>
      <c r="L517" s="2">
        <v>0.125</v>
      </c>
      <c r="M517" s="3">
        <v>20</v>
      </c>
      <c r="N517" s="2">
        <v>0</v>
      </c>
      <c r="O517" s="2">
        <v>0</v>
      </c>
      <c r="P517" s="6">
        <v>0.01</v>
      </c>
      <c r="Q517" s="6">
        <v>0.3</v>
      </c>
      <c r="R517" s="2">
        <v>3.7500000000000001E-4</v>
      </c>
      <c r="T517" s="41">
        <v>7</v>
      </c>
      <c r="Y517" s="7"/>
      <c r="AA517" s="8"/>
      <c r="AB517" s="9"/>
      <c r="AE517" s="10"/>
      <c r="AF517" s="11"/>
      <c r="AG517"/>
    </row>
    <row r="518" spans="1:33" x14ac:dyDescent="0.2">
      <c r="A518" s="39" t="s">
        <v>333</v>
      </c>
      <c r="B518" s="5" t="s">
        <v>15</v>
      </c>
      <c r="C518" s="2"/>
      <c r="D518" s="3"/>
      <c r="E518" s="40" t="s">
        <v>325</v>
      </c>
      <c r="F518" s="2"/>
      <c r="G518" s="2">
        <v>0</v>
      </c>
      <c r="H518" s="40"/>
      <c r="I518" s="2"/>
      <c r="J518" s="2">
        <v>0</v>
      </c>
      <c r="K518" s="41" t="s">
        <v>49</v>
      </c>
      <c r="L518" s="2">
        <v>0.54166667000000002</v>
      </c>
      <c r="M518" s="3">
        <v>86.666667000000004</v>
      </c>
      <c r="N518" s="2">
        <v>0</v>
      </c>
      <c r="O518" s="2">
        <v>0</v>
      </c>
      <c r="P518" s="6">
        <v>5.0000000000000001E-3</v>
      </c>
      <c r="Q518" s="6">
        <v>0.5</v>
      </c>
      <c r="R518" s="2">
        <v>1.35417E-3</v>
      </c>
      <c r="T518" s="41">
        <v>7</v>
      </c>
      <c r="Y518" s="7"/>
      <c r="AA518" s="8"/>
      <c r="AB518" s="9"/>
      <c r="AE518" s="10"/>
      <c r="AF518" s="11"/>
      <c r="AG518"/>
    </row>
    <row r="519" spans="1:33" x14ac:dyDescent="0.2">
      <c r="A519" s="39" t="s">
        <v>309</v>
      </c>
      <c r="B519" s="5" t="s">
        <v>15</v>
      </c>
      <c r="C519" s="2"/>
      <c r="D519" s="3"/>
      <c r="E519" s="40" t="s">
        <v>323</v>
      </c>
      <c r="F519" s="2"/>
      <c r="G519" s="2">
        <v>0</v>
      </c>
      <c r="H519" s="40"/>
      <c r="I519" s="2"/>
      <c r="J519" s="2">
        <v>0</v>
      </c>
      <c r="K519" s="41" t="s">
        <v>58</v>
      </c>
      <c r="L519" s="2">
        <v>0.14583333000000001</v>
      </c>
      <c r="M519" s="3">
        <v>23.333333</v>
      </c>
      <c r="N519" s="2">
        <v>0</v>
      </c>
      <c r="O519" s="2">
        <v>0</v>
      </c>
      <c r="P519" s="6">
        <v>0.01</v>
      </c>
      <c r="Q519" s="6">
        <v>1</v>
      </c>
      <c r="R519" s="2">
        <v>1.4583300000000001E-3</v>
      </c>
      <c r="T519" s="41">
        <v>7</v>
      </c>
      <c r="Y519" s="7"/>
      <c r="AA519" s="8"/>
      <c r="AB519" s="9"/>
      <c r="AE519" s="10"/>
      <c r="AF519" s="11"/>
      <c r="AG519"/>
    </row>
    <row r="520" spans="1:33" x14ac:dyDescent="0.2">
      <c r="A520" s="39" t="s">
        <v>287</v>
      </c>
      <c r="B520" s="5" t="s">
        <v>15</v>
      </c>
      <c r="C520" s="2"/>
      <c r="D520" s="3"/>
      <c r="E520" s="40" t="s">
        <v>322</v>
      </c>
      <c r="F520" s="2"/>
      <c r="G520" s="2">
        <v>0</v>
      </c>
      <c r="H520" s="40"/>
      <c r="I520" s="2"/>
      <c r="J520" s="2">
        <v>0</v>
      </c>
      <c r="K520" s="41" t="s">
        <v>30</v>
      </c>
      <c r="L520" s="2">
        <v>0.1875</v>
      </c>
      <c r="M520" s="3">
        <v>30</v>
      </c>
      <c r="N520" s="2">
        <v>0</v>
      </c>
      <c r="O520" s="2">
        <v>0</v>
      </c>
      <c r="P520" s="6">
        <v>3.3333330000000001E-2</v>
      </c>
      <c r="Q520" s="6">
        <v>6.25E-2</v>
      </c>
      <c r="R520" s="2">
        <v>3.9062E-4</v>
      </c>
      <c r="T520" s="41">
        <v>7</v>
      </c>
      <c r="Y520" s="7"/>
      <c r="AA520" s="8"/>
      <c r="AB520" s="9"/>
      <c r="AE520" s="10"/>
      <c r="AF520" s="11"/>
      <c r="AG520"/>
    </row>
    <row r="521" spans="1:33" x14ac:dyDescent="0.2">
      <c r="A521" s="39" t="s">
        <v>288</v>
      </c>
      <c r="B521" s="5" t="s">
        <v>15</v>
      </c>
      <c r="C521" s="2"/>
      <c r="D521" s="3"/>
      <c r="E521" s="40" t="s">
        <v>322</v>
      </c>
      <c r="F521" s="2"/>
      <c r="G521" s="2">
        <v>0</v>
      </c>
      <c r="H521" s="40"/>
      <c r="I521" s="2"/>
      <c r="J521" s="2">
        <v>0</v>
      </c>
      <c r="K521" s="41" t="s">
        <v>30</v>
      </c>
      <c r="L521" s="2">
        <v>0.1875</v>
      </c>
      <c r="M521" s="3">
        <v>30</v>
      </c>
      <c r="N521" s="2">
        <v>0</v>
      </c>
      <c r="O521" s="2">
        <v>0</v>
      </c>
      <c r="P521" s="6">
        <v>3.3333330000000001E-2</v>
      </c>
      <c r="Q521" s="6">
        <v>0.125</v>
      </c>
      <c r="R521" s="2">
        <v>7.8125000000000004E-4</v>
      </c>
      <c r="T521" s="41">
        <v>7</v>
      </c>
      <c r="Y521" s="7"/>
      <c r="AA521" s="8"/>
      <c r="AB521" s="9"/>
      <c r="AE521" s="10"/>
      <c r="AF521" s="11"/>
      <c r="AG521"/>
    </row>
    <row r="522" spans="1:33" x14ac:dyDescent="0.2">
      <c r="A522" s="39" t="s">
        <v>334</v>
      </c>
      <c r="B522" s="5" t="s">
        <v>15</v>
      </c>
      <c r="C522" s="2"/>
      <c r="D522" s="3"/>
      <c r="E522" s="40" t="s">
        <v>317</v>
      </c>
      <c r="F522" s="2"/>
      <c r="G522" s="2">
        <v>0</v>
      </c>
      <c r="H522" s="40"/>
      <c r="I522" s="2"/>
      <c r="J522" s="2">
        <v>0</v>
      </c>
      <c r="K522" s="41" t="s">
        <v>115</v>
      </c>
      <c r="L522" s="2">
        <v>0.125</v>
      </c>
      <c r="M522" s="3">
        <v>20</v>
      </c>
      <c r="N522" s="2">
        <v>0</v>
      </c>
      <c r="O522" s="2">
        <v>0</v>
      </c>
      <c r="P522" s="6">
        <v>0.01</v>
      </c>
      <c r="Q522" s="6">
        <v>0.15</v>
      </c>
      <c r="R522" s="2">
        <v>1.875E-4</v>
      </c>
      <c r="T522" s="41">
        <v>7</v>
      </c>
      <c r="Y522" s="7"/>
      <c r="AA522" s="8"/>
      <c r="AB522" s="9"/>
      <c r="AE522" s="10"/>
      <c r="AF522" s="11"/>
      <c r="AG522"/>
    </row>
    <row r="523" spans="1:33" ht="38.25" x14ac:dyDescent="0.2">
      <c r="A523" s="39" t="s">
        <v>335</v>
      </c>
      <c r="B523" s="5" t="s">
        <v>15</v>
      </c>
      <c r="C523" s="2"/>
      <c r="D523" s="3"/>
      <c r="E523" s="40" t="s">
        <v>317</v>
      </c>
      <c r="F523" s="2"/>
      <c r="G523" s="2">
        <v>0</v>
      </c>
      <c r="H523" s="40"/>
      <c r="I523" s="2"/>
      <c r="J523" s="2">
        <v>0</v>
      </c>
      <c r="K523" s="41" t="s">
        <v>115</v>
      </c>
      <c r="L523" s="2">
        <v>0.125</v>
      </c>
      <c r="M523" s="3">
        <v>20</v>
      </c>
      <c r="N523" s="2">
        <v>0</v>
      </c>
      <c r="O523" s="2">
        <v>0</v>
      </c>
      <c r="P523" s="6">
        <v>0.01</v>
      </c>
      <c r="Q523" s="6">
        <v>0.3</v>
      </c>
      <c r="R523" s="2">
        <v>3.7500000000000001E-4</v>
      </c>
      <c r="S523" s="4" t="s">
        <v>147</v>
      </c>
      <c r="T523" s="41">
        <v>7</v>
      </c>
      <c r="Y523" s="7"/>
      <c r="AA523" s="8"/>
      <c r="AB523" s="9"/>
      <c r="AE523" s="10"/>
      <c r="AF523" s="11"/>
      <c r="AG523"/>
    </row>
    <row r="524" spans="1:33" ht="25.5" x14ac:dyDescent="0.2">
      <c r="A524" s="39" t="s">
        <v>289</v>
      </c>
      <c r="B524" s="5" t="s">
        <v>15</v>
      </c>
      <c r="C524" s="2"/>
      <c r="D524" s="3"/>
      <c r="E524" s="40" t="s">
        <v>322</v>
      </c>
      <c r="F524" s="2"/>
      <c r="G524" s="2">
        <v>0</v>
      </c>
      <c r="H524" s="40"/>
      <c r="I524" s="2"/>
      <c r="J524" s="2">
        <v>0</v>
      </c>
      <c r="K524" s="41" t="s">
        <v>141</v>
      </c>
      <c r="L524" s="2">
        <v>0.1875</v>
      </c>
      <c r="M524" s="3">
        <v>30</v>
      </c>
      <c r="N524" s="2">
        <v>0</v>
      </c>
      <c r="O524" s="2">
        <v>0</v>
      </c>
      <c r="P524" s="6">
        <v>3.3333330000000001E-2</v>
      </c>
      <c r="Q524" s="6">
        <v>8.3349999999999994E-2</v>
      </c>
      <c r="R524" s="2">
        <v>5.2094000000000001E-4</v>
      </c>
      <c r="T524" s="41">
        <v>7</v>
      </c>
      <c r="Y524" s="7"/>
      <c r="AA524" s="8"/>
      <c r="AB524" s="9"/>
      <c r="AE524" s="10"/>
      <c r="AF524" s="11"/>
      <c r="AG524"/>
    </row>
    <row r="525" spans="1:33" ht="38.25" x14ac:dyDescent="0.2">
      <c r="A525" s="39" t="s">
        <v>336</v>
      </c>
      <c r="B525" s="5" t="s">
        <v>15</v>
      </c>
      <c r="C525" s="2"/>
      <c r="D525" s="3"/>
      <c r="E525" s="40" t="s">
        <v>317</v>
      </c>
      <c r="F525" s="2"/>
      <c r="G525" s="2">
        <v>0</v>
      </c>
      <c r="H525" s="40"/>
      <c r="I525" s="2"/>
      <c r="J525" s="2">
        <v>0</v>
      </c>
      <c r="K525" s="41" t="s">
        <v>115</v>
      </c>
      <c r="L525" s="2">
        <v>0.125</v>
      </c>
      <c r="M525" s="3">
        <v>20</v>
      </c>
      <c r="N525" s="2">
        <v>0</v>
      </c>
      <c r="O525" s="2">
        <v>0</v>
      </c>
      <c r="P525" s="6">
        <v>0.01</v>
      </c>
      <c r="Q525" s="6">
        <v>0.15</v>
      </c>
      <c r="R525" s="2">
        <v>1.875E-4</v>
      </c>
      <c r="T525" s="41">
        <v>7</v>
      </c>
      <c r="Y525" s="7"/>
      <c r="AA525" s="8"/>
      <c r="AB525" s="9"/>
      <c r="AE525" s="10"/>
      <c r="AF525" s="11"/>
      <c r="AG525"/>
    </row>
    <row r="526" spans="1:33" x14ac:dyDescent="0.2">
      <c r="A526" s="39" t="s">
        <v>290</v>
      </c>
      <c r="B526" s="5" t="s">
        <v>15</v>
      </c>
      <c r="C526" s="2"/>
      <c r="D526" s="3"/>
      <c r="E526" s="40" t="s">
        <v>323</v>
      </c>
      <c r="F526" s="2"/>
      <c r="G526" s="2">
        <v>0</v>
      </c>
      <c r="H526" s="40"/>
      <c r="I526" s="2"/>
      <c r="J526" s="2">
        <v>0</v>
      </c>
      <c r="K526" s="41" t="s">
        <v>327</v>
      </c>
      <c r="L526" s="2">
        <v>0.14583333000000001</v>
      </c>
      <c r="M526" s="3">
        <v>23.333333</v>
      </c>
      <c r="N526" s="2">
        <v>0</v>
      </c>
      <c r="O526" s="2">
        <v>0</v>
      </c>
      <c r="P526" s="6">
        <v>3.3333330000000001E-2</v>
      </c>
      <c r="Q526" s="6">
        <v>0.15</v>
      </c>
      <c r="R526" s="2">
        <v>7.2917000000000001E-4</v>
      </c>
      <c r="S526" s="4" t="s">
        <v>151</v>
      </c>
      <c r="T526" s="41">
        <v>7</v>
      </c>
      <c r="Y526" s="7"/>
      <c r="AA526" s="8"/>
      <c r="AB526" s="9"/>
      <c r="AE526" s="10"/>
      <c r="AF526" s="11"/>
      <c r="AG526"/>
    </row>
    <row r="527" spans="1:33" x14ac:dyDescent="0.2">
      <c r="A527" s="39" t="s">
        <v>291</v>
      </c>
      <c r="B527" s="5" t="s">
        <v>15</v>
      </c>
      <c r="C527" s="2"/>
      <c r="D527" s="3"/>
      <c r="E527" s="40" t="s">
        <v>322</v>
      </c>
      <c r="F527" s="2"/>
      <c r="G527" s="2">
        <v>0</v>
      </c>
      <c r="H527" s="40"/>
      <c r="I527" s="2"/>
      <c r="J527" s="2">
        <v>0</v>
      </c>
      <c r="K527" s="41" t="s">
        <v>151</v>
      </c>
      <c r="L527" s="2">
        <v>0.1875</v>
      </c>
      <c r="M527" s="3">
        <v>30</v>
      </c>
      <c r="N527" s="2">
        <v>0</v>
      </c>
      <c r="O527" s="2">
        <v>0</v>
      </c>
      <c r="P527" s="6">
        <v>3.3333330000000001E-2</v>
      </c>
      <c r="Q527" s="6">
        <v>6.25E-2</v>
      </c>
      <c r="R527" s="2">
        <v>3.9062E-4</v>
      </c>
      <c r="T527" s="41">
        <v>7</v>
      </c>
      <c r="Y527" s="7"/>
      <c r="AA527" s="8"/>
      <c r="AB527" s="9"/>
      <c r="AE527" s="10"/>
      <c r="AF527" s="11"/>
      <c r="AG527"/>
    </row>
    <row r="528" spans="1:33" x14ac:dyDescent="0.2">
      <c r="A528" s="39" t="s">
        <v>337</v>
      </c>
      <c r="B528" s="5" t="s">
        <v>52</v>
      </c>
      <c r="C528" s="2">
        <v>2.34375E-2</v>
      </c>
      <c r="D528" s="3">
        <v>3.75</v>
      </c>
      <c r="E528" s="40" t="s">
        <v>322</v>
      </c>
      <c r="F528" s="2"/>
      <c r="G528" s="2">
        <v>0</v>
      </c>
      <c r="H528" s="40"/>
      <c r="I528" s="2">
        <v>0.83333333330000003</v>
      </c>
      <c r="J528" s="2">
        <v>3.3333330000000001E-2</v>
      </c>
      <c r="K528" s="41" t="s">
        <v>338</v>
      </c>
      <c r="M528" s="3"/>
      <c r="N528" s="2">
        <v>0</v>
      </c>
      <c r="O528" s="2">
        <v>0</v>
      </c>
      <c r="P528" s="6">
        <v>0</v>
      </c>
      <c r="Q528" s="6">
        <v>0</v>
      </c>
      <c r="R528" s="2">
        <v>1.8749999999999999E-2</v>
      </c>
      <c r="T528" s="41">
        <v>7</v>
      </c>
      <c r="Y528" s="7"/>
      <c r="AA528" s="8"/>
      <c r="AB528" s="9"/>
      <c r="AE528" s="10"/>
      <c r="AF528" s="11"/>
      <c r="AG528"/>
    </row>
    <row r="529" spans="1:33" x14ac:dyDescent="0.2">
      <c r="A529" s="39" t="s">
        <v>82</v>
      </c>
      <c r="B529" s="5" t="s">
        <v>52</v>
      </c>
      <c r="C529" s="2">
        <v>2.34375E-2</v>
      </c>
      <c r="D529" s="3">
        <v>3.75</v>
      </c>
      <c r="E529" s="40" t="s">
        <v>322</v>
      </c>
      <c r="F529" s="2"/>
      <c r="G529" s="2">
        <v>0</v>
      </c>
      <c r="H529" s="40"/>
      <c r="I529" s="2">
        <v>0.83333333330000003</v>
      </c>
      <c r="J529" s="2">
        <v>4.8333330000000001E-2</v>
      </c>
      <c r="K529" s="41" t="s">
        <v>338</v>
      </c>
      <c r="M529" s="3"/>
      <c r="N529" s="2">
        <v>0</v>
      </c>
      <c r="O529" s="2">
        <v>0</v>
      </c>
      <c r="P529" s="6">
        <v>0</v>
      </c>
      <c r="Q529" s="6">
        <v>0</v>
      </c>
      <c r="R529" s="2">
        <v>1.839843E-2</v>
      </c>
      <c r="T529" s="41">
        <v>7</v>
      </c>
      <c r="Y529" s="7"/>
      <c r="AA529" s="8"/>
      <c r="AB529" s="9"/>
      <c r="AE529" s="10"/>
      <c r="AF529" s="11"/>
      <c r="AG529"/>
    </row>
    <row r="530" spans="1:33" x14ac:dyDescent="0.2">
      <c r="A530" s="39" t="s">
        <v>82</v>
      </c>
      <c r="B530" s="5" t="s">
        <v>52</v>
      </c>
      <c r="C530" s="2">
        <v>0.140625</v>
      </c>
      <c r="D530" s="3">
        <v>22.5</v>
      </c>
      <c r="E530" s="40" t="s">
        <v>322</v>
      </c>
      <c r="F530" s="2"/>
      <c r="G530" s="2">
        <v>0</v>
      </c>
      <c r="H530" s="40"/>
      <c r="I530" s="2">
        <v>0.83333333330000003</v>
      </c>
      <c r="J530" s="2">
        <v>3.3333330000000001E-2</v>
      </c>
      <c r="K530" s="41" t="s">
        <v>339</v>
      </c>
      <c r="M530" s="3"/>
      <c r="N530" s="2">
        <v>0</v>
      </c>
      <c r="O530" s="2">
        <v>0</v>
      </c>
      <c r="P530" s="6">
        <v>0</v>
      </c>
      <c r="Q530" s="6">
        <v>0</v>
      </c>
      <c r="R530" s="2">
        <v>0.1125</v>
      </c>
      <c r="T530" s="41">
        <v>7</v>
      </c>
      <c r="Y530" s="7"/>
      <c r="AA530" s="8"/>
      <c r="AB530" s="9"/>
      <c r="AE530" s="10"/>
      <c r="AF530" s="11"/>
      <c r="AG530"/>
    </row>
    <row r="531" spans="1:33" x14ac:dyDescent="0.2">
      <c r="A531" s="39" t="s">
        <v>316</v>
      </c>
      <c r="B531" s="5" t="s">
        <v>52</v>
      </c>
      <c r="C531" s="2">
        <v>0.125</v>
      </c>
      <c r="D531" s="3">
        <v>20</v>
      </c>
      <c r="E531" s="40" t="s">
        <v>317</v>
      </c>
      <c r="F531" s="2"/>
      <c r="G531" s="2">
        <v>0</v>
      </c>
      <c r="H531" s="40"/>
      <c r="I531" s="2">
        <v>0.85</v>
      </c>
      <c r="J531" s="2">
        <v>0.03</v>
      </c>
      <c r="K531" s="41" t="s">
        <v>340</v>
      </c>
      <c r="M531" s="3"/>
      <c r="N531" s="2">
        <v>0</v>
      </c>
      <c r="O531" s="2">
        <v>0</v>
      </c>
      <c r="P531" s="6">
        <v>0</v>
      </c>
      <c r="Q531" s="6">
        <v>0</v>
      </c>
      <c r="R531" s="2">
        <v>0.10249999999999999</v>
      </c>
      <c r="T531" s="41">
        <v>7</v>
      </c>
      <c r="Y531" s="7"/>
      <c r="AA531" s="8"/>
      <c r="AB531" s="9"/>
      <c r="AE531" s="10"/>
      <c r="AF531" s="11"/>
      <c r="AG531"/>
    </row>
    <row r="532" spans="1:33" x14ac:dyDescent="0.2">
      <c r="A532" s="39" t="s">
        <v>341</v>
      </c>
      <c r="B532" s="5" t="s">
        <v>52</v>
      </c>
      <c r="C532" s="2">
        <v>0.14583333000000001</v>
      </c>
      <c r="D532" s="3">
        <v>23.333333</v>
      </c>
      <c r="E532" s="40" t="s">
        <v>323</v>
      </c>
      <c r="F532" s="2"/>
      <c r="G532" s="2">
        <v>0</v>
      </c>
      <c r="H532" s="40"/>
      <c r="I532" s="2">
        <v>0.83333333330000003</v>
      </c>
      <c r="J532" s="2">
        <v>4.3333330000000003E-2</v>
      </c>
      <c r="K532" s="41" t="s">
        <v>342</v>
      </c>
      <c r="M532" s="3"/>
      <c r="N532" s="2">
        <v>0</v>
      </c>
      <c r="O532" s="2">
        <v>0</v>
      </c>
      <c r="P532" s="6">
        <v>0</v>
      </c>
      <c r="Q532" s="6">
        <v>0</v>
      </c>
      <c r="R532" s="2">
        <v>0.11520833</v>
      </c>
      <c r="T532" s="41">
        <v>7</v>
      </c>
      <c r="Y532" s="7"/>
      <c r="AA532" s="8"/>
      <c r="AB532" s="9"/>
      <c r="AE532" s="10"/>
      <c r="AF532" s="11"/>
      <c r="AG532"/>
    </row>
    <row r="533" spans="1:33" x14ac:dyDescent="0.2">
      <c r="A533" s="39" t="s">
        <v>343</v>
      </c>
      <c r="B533" s="5" t="s">
        <v>52</v>
      </c>
      <c r="C533" s="2">
        <v>0.54166667000000002</v>
      </c>
      <c r="D533" s="3">
        <v>86.666667000000004</v>
      </c>
      <c r="E533" s="40" t="s">
        <v>325</v>
      </c>
      <c r="F533" s="2"/>
      <c r="G533" s="2">
        <v>0</v>
      </c>
      <c r="H533" s="40"/>
      <c r="I533" s="2">
        <v>0.8125</v>
      </c>
      <c r="J533" s="2">
        <v>5.0000000000000001E-3</v>
      </c>
      <c r="K533" s="41" t="s">
        <v>344</v>
      </c>
      <c r="M533" s="3"/>
      <c r="N533" s="2">
        <v>0</v>
      </c>
      <c r="O533" s="2">
        <v>0</v>
      </c>
      <c r="P533" s="6">
        <v>0</v>
      </c>
      <c r="Q533" s="6">
        <v>0</v>
      </c>
      <c r="R533" s="2">
        <v>0.43739583999999998</v>
      </c>
      <c r="T533" s="41">
        <v>7</v>
      </c>
      <c r="Y533" s="7"/>
      <c r="AA533" s="8"/>
      <c r="AB533" s="9"/>
      <c r="AE533" s="10"/>
      <c r="AF533" s="11"/>
      <c r="AG533"/>
    </row>
    <row r="534" spans="1:33" x14ac:dyDescent="0.2">
      <c r="A534" s="39" t="s">
        <v>345</v>
      </c>
      <c r="B534" s="5" t="s">
        <v>21</v>
      </c>
      <c r="C534" s="2">
        <v>0.25</v>
      </c>
      <c r="D534" s="3">
        <v>40</v>
      </c>
      <c r="E534" s="40" t="s">
        <v>346</v>
      </c>
      <c r="F534" s="2">
        <v>0.16666666999999999</v>
      </c>
      <c r="G534" s="2">
        <v>0</v>
      </c>
      <c r="H534" s="40"/>
      <c r="I534" s="2"/>
      <c r="J534" s="2">
        <v>0</v>
      </c>
      <c r="K534" s="41"/>
      <c r="M534" s="3"/>
      <c r="N534" s="2">
        <v>0</v>
      </c>
      <c r="O534" s="2">
        <v>0</v>
      </c>
      <c r="P534" s="6">
        <v>0</v>
      </c>
      <c r="Q534" s="6">
        <v>0</v>
      </c>
      <c r="R534" s="2">
        <v>4.1666670000000003E-2</v>
      </c>
      <c r="T534" s="41">
        <v>8</v>
      </c>
      <c r="Y534" s="7"/>
      <c r="AA534" s="8"/>
      <c r="AB534" s="9"/>
      <c r="AE534" s="10"/>
      <c r="AF534" s="11"/>
      <c r="AG534"/>
    </row>
    <row r="535" spans="1:33" x14ac:dyDescent="0.2">
      <c r="A535" s="39" t="s">
        <v>347</v>
      </c>
      <c r="B535" s="5" t="s">
        <v>21</v>
      </c>
      <c r="C535" s="2">
        <v>0.125</v>
      </c>
      <c r="D535" s="3">
        <v>20</v>
      </c>
      <c r="E535" s="40" t="s">
        <v>132</v>
      </c>
      <c r="F535" s="2">
        <v>0.16666666999999999</v>
      </c>
      <c r="G535" s="2">
        <v>0</v>
      </c>
      <c r="H535" s="40"/>
      <c r="I535" s="2"/>
      <c r="J535" s="2">
        <v>0</v>
      </c>
      <c r="K535" s="41"/>
      <c r="M535" s="3"/>
      <c r="N535" s="2">
        <v>0</v>
      </c>
      <c r="O535" s="2">
        <v>0</v>
      </c>
      <c r="P535" s="6">
        <v>0</v>
      </c>
      <c r="Q535" s="6">
        <v>0</v>
      </c>
      <c r="R535" s="2">
        <v>2.0833330000000001E-2</v>
      </c>
      <c r="T535" s="41">
        <v>8</v>
      </c>
      <c r="Y535" s="7"/>
      <c r="AA535" s="8"/>
      <c r="AB535" s="9"/>
      <c r="AE535" s="10"/>
      <c r="AF535" s="11"/>
      <c r="AG535"/>
    </row>
    <row r="536" spans="1:33" x14ac:dyDescent="0.2">
      <c r="A536" s="39" t="s">
        <v>348</v>
      </c>
      <c r="B536" s="5" t="s">
        <v>21</v>
      </c>
      <c r="C536" s="2">
        <v>0.125</v>
      </c>
      <c r="D536" s="3">
        <v>20</v>
      </c>
      <c r="E536" s="40" t="s">
        <v>67</v>
      </c>
      <c r="F536" s="2">
        <v>0.1875</v>
      </c>
      <c r="G536" s="2">
        <v>0</v>
      </c>
      <c r="H536" s="40"/>
      <c r="I536" s="2"/>
      <c r="J536" s="2">
        <v>0</v>
      </c>
      <c r="K536" s="41"/>
      <c r="M536" s="3"/>
      <c r="N536" s="2">
        <v>0</v>
      </c>
      <c r="O536" s="2">
        <v>0</v>
      </c>
      <c r="P536" s="6">
        <v>0</v>
      </c>
      <c r="Q536" s="6">
        <v>0</v>
      </c>
      <c r="R536" s="2">
        <v>2.34375E-2</v>
      </c>
      <c r="T536" s="41">
        <v>8</v>
      </c>
      <c r="Y536" s="7"/>
      <c r="AA536" s="8"/>
      <c r="AB536" s="9"/>
      <c r="AE536" s="10"/>
      <c r="AF536" s="11"/>
      <c r="AG536"/>
    </row>
    <row r="537" spans="1:33" ht="38.25" x14ac:dyDescent="0.2">
      <c r="A537" s="39" t="s">
        <v>349</v>
      </c>
      <c r="B537" s="5" t="s">
        <v>21</v>
      </c>
      <c r="C537" s="2">
        <v>6.25E-2</v>
      </c>
      <c r="D537" s="3">
        <v>10</v>
      </c>
      <c r="E537" s="40" t="s">
        <v>94</v>
      </c>
      <c r="F537" s="2">
        <v>0.16666666999999999</v>
      </c>
      <c r="G537" s="2">
        <v>0</v>
      </c>
      <c r="H537" s="40"/>
      <c r="I537" s="2"/>
      <c r="J537" s="2">
        <v>0</v>
      </c>
      <c r="K537" s="41"/>
      <c r="M537" s="3"/>
      <c r="N537" s="2">
        <v>0</v>
      </c>
      <c r="O537" s="2">
        <v>0</v>
      </c>
      <c r="P537" s="6">
        <v>0</v>
      </c>
      <c r="Q537" s="6">
        <v>0</v>
      </c>
      <c r="R537" s="2">
        <v>1.0416669999999999E-2</v>
      </c>
      <c r="T537" s="41">
        <v>8</v>
      </c>
      <c r="Y537" s="7"/>
      <c r="AA537" s="8"/>
      <c r="AB537" s="9"/>
      <c r="AE537" s="10"/>
      <c r="AF537" s="11"/>
      <c r="AG537"/>
    </row>
    <row r="538" spans="1:33" ht="38.25" x14ac:dyDescent="0.2">
      <c r="A538" s="39" t="s">
        <v>350</v>
      </c>
      <c r="B538" s="5" t="s">
        <v>21</v>
      </c>
      <c r="C538" s="2">
        <v>6.25E-2</v>
      </c>
      <c r="D538" s="3">
        <v>10</v>
      </c>
      <c r="E538" s="40" t="s">
        <v>77</v>
      </c>
      <c r="F538" s="2">
        <v>0.16666666999999999</v>
      </c>
      <c r="G538" s="2">
        <v>0</v>
      </c>
      <c r="H538" s="40"/>
      <c r="I538" s="2"/>
      <c r="J538" s="2">
        <v>0</v>
      </c>
      <c r="K538" s="41"/>
      <c r="M538" s="3"/>
      <c r="N538" s="2">
        <v>0</v>
      </c>
      <c r="O538" s="2">
        <v>0</v>
      </c>
      <c r="P538" s="6">
        <v>0</v>
      </c>
      <c r="Q538" s="6">
        <v>0</v>
      </c>
      <c r="R538" s="2">
        <v>1.0416669999999999E-2</v>
      </c>
      <c r="T538" s="41">
        <v>8</v>
      </c>
      <c r="Y538" s="7"/>
      <c r="AA538" s="8"/>
      <c r="AB538" s="9"/>
      <c r="AE538" s="10"/>
      <c r="AF538" s="11"/>
      <c r="AG538"/>
    </row>
    <row r="539" spans="1:33" ht="38.25" x14ac:dyDescent="0.2">
      <c r="A539" s="39" t="s">
        <v>351</v>
      </c>
      <c r="B539" s="5" t="s">
        <v>21</v>
      </c>
      <c r="C539" s="2">
        <v>0.25</v>
      </c>
      <c r="D539" s="3">
        <v>40</v>
      </c>
      <c r="E539" s="40" t="s">
        <v>352</v>
      </c>
      <c r="F539" s="2">
        <v>0.16666666999999999</v>
      </c>
      <c r="G539" s="2">
        <v>0</v>
      </c>
      <c r="H539" s="40"/>
      <c r="I539" s="2"/>
      <c r="J539" s="2">
        <v>0</v>
      </c>
      <c r="K539" s="41"/>
      <c r="M539" s="3"/>
      <c r="N539" s="2">
        <v>0</v>
      </c>
      <c r="O539" s="2">
        <v>0</v>
      </c>
      <c r="P539" s="6">
        <v>0</v>
      </c>
      <c r="Q539" s="6">
        <v>0</v>
      </c>
      <c r="R539" s="2">
        <v>4.1666660000000001E-2</v>
      </c>
      <c r="T539" s="41">
        <v>8</v>
      </c>
      <c r="Y539" s="7"/>
      <c r="AA539" s="8"/>
      <c r="AB539" s="9"/>
      <c r="AE539" s="10"/>
      <c r="AF539" s="11"/>
      <c r="AG539"/>
    </row>
    <row r="540" spans="1:33" x14ac:dyDescent="0.2">
      <c r="A540" s="39" t="s">
        <v>353</v>
      </c>
      <c r="B540" s="5" t="s">
        <v>21</v>
      </c>
      <c r="C540" s="2">
        <v>0.125</v>
      </c>
      <c r="D540" s="3">
        <v>20</v>
      </c>
      <c r="E540" s="40" t="s">
        <v>129</v>
      </c>
      <c r="F540" s="2">
        <v>0.2</v>
      </c>
      <c r="G540" s="2">
        <v>0</v>
      </c>
      <c r="H540" s="40"/>
      <c r="I540" s="2"/>
      <c r="J540" s="2">
        <v>0</v>
      </c>
      <c r="K540" s="41"/>
      <c r="M540" s="3"/>
      <c r="N540" s="2">
        <v>0</v>
      </c>
      <c r="O540" s="2">
        <v>0</v>
      </c>
      <c r="P540" s="6">
        <v>0</v>
      </c>
      <c r="Q540" s="6">
        <v>0</v>
      </c>
      <c r="R540" s="2">
        <v>2.5000000000000001E-2</v>
      </c>
      <c r="T540" s="41">
        <v>8</v>
      </c>
      <c r="Y540" s="7"/>
      <c r="AA540" s="8"/>
      <c r="AB540" s="9"/>
      <c r="AE540" s="10"/>
      <c r="AF540" s="11"/>
      <c r="AG540"/>
    </row>
    <row r="541" spans="1:33" x14ac:dyDescent="0.2">
      <c r="A541" s="39" t="s">
        <v>119</v>
      </c>
      <c r="B541" s="5" t="s">
        <v>13</v>
      </c>
      <c r="C541" s="2"/>
      <c r="D541" s="3"/>
      <c r="E541" s="40"/>
      <c r="F541" s="2"/>
      <c r="G541" s="2">
        <v>0</v>
      </c>
      <c r="H541" s="40"/>
      <c r="I541" s="2"/>
      <c r="J541" s="2">
        <v>0</v>
      </c>
      <c r="K541" s="41"/>
      <c r="M541" s="3">
        <v>0</v>
      </c>
      <c r="N541" s="2">
        <v>0</v>
      </c>
      <c r="O541" s="2">
        <v>0</v>
      </c>
      <c r="P541" s="6">
        <v>0</v>
      </c>
      <c r="Q541" s="6">
        <v>0</v>
      </c>
      <c r="R541" s="2">
        <v>0</v>
      </c>
      <c r="T541" s="41">
        <v>8</v>
      </c>
      <c r="Y541" s="7"/>
      <c r="AA541" s="8"/>
      <c r="AB541" s="9"/>
      <c r="AE541" s="10"/>
      <c r="AF541" s="11"/>
      <c r="AG541"/>
    </row>
    <row r="542" spans="1:33" x14ac:dyDescent="0.2">
      <c r="A542" s="39" t="s">
        <v>29</v>
      </c>
      <c r="B542" s="5" t="s">
        <v>15</v>
      </c>
      <c r="C542" s="2"/>
      <c r="D542" s="3"/>
      <c r="E542" s="40" t="s">
        <v>355</v>
      </c>
      <c r="F542" s="2"/>
      <c r="G542" s="2">
        <v>0</v>
      </c>
      <c r="H542" s="40"/>
      <c r="I542" s="2"/>
      <c r="J542" s="2">
        <v>0</v>
      </c>
      <c r="K542" s="41" t="s">
        <v>30</v>
      </c>
      <c r="L542" s="2">
        <v>0.75</v>
      </c>
      <c r="M542" s="3">
        <v>120</v>
      </c>
      <c r="N542" s="2">
        <v>0</v>
      </c>
      <c r="O542" s="2">
        <v>0</v>
      </c>
      <c r="P542" s="6">
        <v>3.3333330000000001E-2</v>
      </c>
      <c r="Q542" s="6">
        <v>6.25E-2</v>
      </c>
      <c r="R542" s="2">
        <v>1.5625000000000001E-3</v>
      </c>
      <c r="T542" s="41">
        <v>8</v>
      </c>
      <c r="Y542" s="7"/>
      <c r="AA542" s="8"/>
      <c r="AB542" s="9"/>
      <c r="AE542" s="10"/>
      <c r="AF542" s="11"/>
      <c r="AG542"/>
    </row>
    <row r="543" spans="1:33" x14ac:dyDescent="0.2">
      <c r="A543" s="39" t="s">
        <v>29</v>
      </c>
      <c r="B543" s="5" t="s">
        <v>15</v>
      </c>
      <c r="C543" s="2"/>
      <c r="D543" s="3"/>
      <c r="E543" s="40" t="s">
        <v>354</v>
      </c>
      <c r="F543" s="2"/>
      <c r="G543" s="2">
        <v>0</v>
      </c>
      <c r="H543" s="40"/>
      <c r="I543" s="2"/>
      <c r="J543" s="2">
        <v>0</v>
      </c>
      <c r="K543" s="41" t="s">
        <v>109</v>
      </c>
      <c r="L543" s="2">
        <v>0.25</v>
      </c>
      <c r="M543" s="3">
        <v>40</v>
      </c>
      <c r="N543" s="2">
        <v>0</v>
      </c>
      <c r="O543" s="2">
        <v>0</v>
      </c>
      <c r="P543" s="6">
        <v>0.02</v>
      </c>
      <c r="Q543" s="6">
        <v>6.25E-2</v>
      </c>
      <c r="R543" s="2">
        <v>3.1250000000000001E-4</v>
      </c>
      <c r="T543" s="41">
        <v>8</v>
      </c>
      <c r="Y543" s="7"/>
      <c r="AA543" s="8"/>
      <c r="AB543" s="9"/>
      <c r="AE543" s="10"/>
      <c r="AF543" s="11"/>
      <c r="AG543"/>
    </row>
    <row r="544" spans="1:33" x14ac:dyDescent="0.2">
      <c r="A544" s="39" t="s">
        <v>36</v>
      </c>
      <c r="B544" s="5" t="s">
        <v>15</v>
      </c>
      <c r="C544" s="2"/>
      <c r="D544" s="3"/>
      <c r="E544" s="40" t="s">
        <v>355</v>
      </c>
      <c r="F544" s="2"/>
      <c r="G544" s="2">
        <v>0</v>
      </c>
      <c r="H544" s="40"/>
      <c r="I544" s="2"/>
      <c r="J544" s="2">
        <v>0</v>
      </c>
      <c r="K544" s="41" t="s">
        <v>141</v>
      </c>
      <c r="L544" s="2">
        <v>0.75</v>
      </c>
      <c r="M544" s="3">
        <v>120</v>
      </c>
      <c r="N544" s="2">
        <v>0</v>
      </c>
      <c r="O544" s="2">
        <v>0</v>
      </c>
      <c r="P544" s="6">
        <v>3.3333330000000001E-2</v>
      </c>
      <c r="Q544" s="6">
        <v>2.7799999999999998E-2</v>
      </c>
      <c r="R544" s="2">
        <v>6.9499999999999998E-4</v>
      </c>
      <c r="T544" s="41">
        <v>8</v>
      </c>
      <c r="Y544" s="7"/>
      <c r="AA544" s="8"/>
      <c r="AB544" s="9"/>
      <c r="AE544" s="10"/>
      <c r="AF544" s="11"/>
      <c r="AG544"/>
    </row>
    <row r="545" spans="1:33" x14ac:dyDescent="0.2">
      <c r="A545" s="39" t="s">
        <v>36</v>
      </c>
      <c r="B545" s="5" t="s">
        <v>15</v>
      </c>
      <c r="C545" s="2"/>
      <c r="D545" s="3"/>
      <c r="E545" s="40" t="s">
        <v>354</v>
      </c>
      <c r="F545" s="2"/>
      <c r="G545" s="2">
        <v>0</v>
      </c>
      <c r="H545" s="40"/>
      <c r="I545" s="2"/>
      <c r="J545" s="2">
        <v>0</v>
      </c>
      <c r="K545" s="41" t="s">
        <v>141</v>
      </c>
      <c r="L545" s="2">
        <v>0.25</v>
      </c>
      <c r="M545" s="3">
        <v>40</v>
      </c>
      <c r="N545" s="2">
        <v>0</v>
      </c>
      <c r="O545" s="2">
        <v>0</v>
      </c>
      <c r="P545" s="6">
        <v>0.02</v>
      </c>
      <c r="Q545" s="6">
        <v>2.7799999999999998E-2</v>
      </c>
      <c r="R545" s="2">
        <v>1.3899999999999999E-4</v>
      </c>
      <c r="T545" s="41">
        <v>8</v>
      </c>
      <c r="Y545" s="7"/>
      <c r="AA545" s="8"/>
      <c r="AB545" s="9"/>
      <c r="AE545" s="10"/>
      <c r="AF545" s="11"/>
      <c r="AG545"/>
    </row>
    <row r="546" spans="1:33" x14ac:dyDescent="0.2">
      <c r="A546" s="39" t="s">
        <v>274</v>
      </c>
      <c r="B546" s="5" t="s">
        <v>15</v>
      </c>
      <c r="C546" s="2"/>
      <c r="D546" s="3"/>
      <c r="E546" s="40" t="s">
        <v>355</v>
      </c>
      <c r="F546" s="2"/>
      <c r="G546" s="2">
        <v>0</v>
      </c>
      <c r="H546" s="40"/>
      <c r="I546" s="2"/>
      <c r="J546" s="2">
        <v>0</v>
      </c>
      <c r="K546" s="41" t="s">
        <v>30</v>
      </c>
      <c r="L546" s="2">
        <v>0.75</v>
      </c>
      <c r="M546" s="3">
        <v>120</v>
      </c>
      <c r="N546" s="2">
        <v>0</v>
      </c>
      <c r="O546" s="2">
        <v>0</v>
      </c>
      <c r="P546" s="6">
        <v>3.3333330000000001E-2</v>
      </c>
      <c r="Q546" s="6">
        <v>3.125E-2</v>
      </c>
      <c r="R546" s="2">
        <v>7.8125000000000004E-4</v>
      </c>
      <c r="T546" s="41">
        <v>8</v>
      </c>
      <c r="Y546" s="7"/>
      <c r="AA546" s="8"/>
      <c r="AB546" s="9"/>
      <c r="AE546" s="10"/>
      <c r="AF546" s="11"/>
      <c r="AG546"/>
    </row>
    <row r="547" spans="1:33" x14ac:dyDescent="0.2">
      <c r="A547" s="39" t="s">
        <v>274</v>
      </c>
      <c r="B547" s="5" t="s">
        <v>15</v>
      </c>
      <c r="C547" s="2"/>
      <c r="D547" s="3"/>
      <c r="E547" s="40" t="s">
        <v>354</v>
      </c>
      <c r="F547" s="2"/>
      <c r="G547" s="2">
        <v>0</v>
      </c>
      <c r="H547" s="40"/>
      <c r="I547" s="2"/>
      <c r="J547" s="2">
        <v>0</v>
      </c>
      <c r="K547" s="41" t="s">
        <v>109</v>
      </c>
      <c r="L547" s="2">
        <v>0.25</v>
      </c>
      <c r="M547" s="3">
        <v>40</v>
      </c>
      <c r="N547" s="2">
        <v>0</v>
      </c>
      <c r="O547" s="2">
        <v>0</v>
      </c>
      <c r="P547" s="6">
        <v>0.02</v>
      </c>
      <c r="Q547" s="6">
        <v>3.125E-2</v>
      </c>
      <c r="R547" s="2">
        <v>1.5625E-4</v>
      </c>
      <c r="T547" s="41">
        <v>8</v>
      </c>
      <c r="Y547" s="7"/>
      <c r="AA547" s="8"/>
      <c r="AB547" s="9"/>
      <c r="AE547" s="10"/>
      <c r="AF547" s="11"/>
      <c r="AG547"/>
    </row>
    <row r="548" spans="1:33" x14ac:dyDescent="0.2">
      <c r="A548" s="39" t="s">
        <v>69</v>
      </c>
      <c r="B548" s="5" t="s">
        <v>15</v>
      </c>
      <c r="C548" s="2"/>
      <c r="D548" s="3"/>
      <c r="E548" s="40" t="s">
        <v>355</v>
      </c>
      <c r="F548" s="2"/>
      <c r="G548" s="2">
        <v>0</v>
      </c>
      <c r="H548" s="40"/>
      <c r="I548" s="2"/>
      <c r="J548" s="2">
        <v>0</v>
      </c>
      <c r="K548" s="41" t="s">
        <v>31</v>
      </c>
      <c r="L548" s="2">
        <v>0.75</v>
      </c>
      <c r="M548" s="3">
        <v>120</v>
      </c>
      <c r="N548" s="2">
        <v>0</v>
      </c>
      <c r="O548" s="2">
        <v>0</v>
      </c>
      <c r="P548" s="6">
        <v>3.3333330000000001E-2</v>
      </c>
      <c r="Q548" s="6">
        <v>0.38884999999999997</v>
      </c>
      <c r="R548" s="2">
        <v>9.7212500000000007E-3</v>
      </c>
      <c r="T548" s="41">
        <v>8</v>
      </c>
      <c r="Y548" s="7"/>
      <c r="AA548" s="8"/>
      <c r="AB548" s="9"/>
      <c r="AE548" s="10"/>
      <c r="AF548" s="11"/>
      <c r="AG548"/>
    </row>
    <row r="549" spans="1:33" x14ac:dyDescent="0.2">
      <c r="A549" s="39" t="s">
        <v>69</v>
      </c>
      <c r="B549" s="5" t="s">
        <v>15</v>
      </c>
      <c r="C549" s="2"/>
      <c r="D549" s="3"/>
      <c r="E549" s="40" t="s">
        <v>354</v>
      </c>
      <c r="F549" s="2"/>
      <c r="G549" s="2">
        <v>0</v>
      </c>
      <c r="H549" s="40"/>
      <c r="I549" s="2"/>
      <c r="J549" s="2">
        <v>0</v>
      </c>
      <c r="K549" s="41" t="s">
        <v>31</v>
      </c>
      <c r="L549" s="2">
        <v>0.25</v>
      </c>
      <c r="M549" s="3">
        <v>40</v>
      </c>
      <c r="N549" s="2">
        <v>0</v>
      </c>
      <c r="O549" s="2">
        <v>0</v>
      </c>
      <c r="P549" s="6">
        <v>0.02</v>
      </c>
      <c r="Q549" s="6">
        <v>0.38884999999999997</v>
      </c>
      <c r="R549" s="2">
        <v>1.94425E-3</v>
      </c>
      <c r="T549" s="41">
        <v>8</v>
      </c>
      <c r="Y549" s="7"/>
      <c r="AA549" s="8"/>
      <c r="AB549" s="9"/>
      <c r="AE549" s="10"/>
      <c r="AF549" s="11"/>
      <c r="AG549"/>
    </row>
    <row r="550" spans="1:33" x14ac:dyDescent="0.2">
      <c r="A550" s="39" t="s">
        <v>279</v>
      </c>
      <c r="B550" s="5" t="s">
        <v>15</v>
      </c>
      <c r="C550" s="2"/>
      <c r="D550" s="3"/>
      <c r="E550" s="40" t="s">
        <v>355</v>
      </c>
      <c r="F550" s="2"/>
      <c r="G550" s="2">
        <v>0</v>
      </c>
      <c r="H550" s="40"/>
      <c r="I550" s="2"/>
      <c r="J550" s="2">
        <v>0</v>
      </c>
      <c r="K550" s="41" t="s">
        <v>30</v>
      </c>
      <c r="L550" s="2">
        <v>0.75</v>
      </c>
      <c r="M550" s="3">
        <v>120</v>
      </c>
      <c r="N550" s="2">
        <v>0</v>
      </c>
      <c r="O550" s="2">
        <v>0</v>
      </c>
      <c r="P550" s="6">
        <v>3.3333330000000001E-2</v>
      </c>
      <c r="Q550" s="6">
        <v>0.125</v>
      </c>
      <c r="R550" s="2">
        <v>3.1250000000000002E-3</v>
      </c>
      <c r="T550" s="41">
        <v>8</v>
      </c>
      <c r="Y550" s="7"/>
      <c r="AA550" s="8"/>
      <c r="AB550" s="9"/>
      <c r="AE550" s="10"/>
      <c r="AF550" s="11"/>
      <c r="AG550"/>
    </row>
    <row r="551" spans="1:33" x14ac:dyDescent="0.2">
      <c r="A551" s="39" t="s">
        <v>279</v>
      </c>
      <c r="B551" s="5" t="s">
        <v>15</v>
      </c>
      <c r="C551" s="2"/>
      <c r="D551" s="3"/>
      <c r="E551" s="40" t="s">
        <v>354</v>
      </c>
      <c r="F551" s="2"/>
      <c r="G551" s="2">
        <v>0</v>
      </c>
      <c r="H551" s="40"/>
      <c r="I551" s="2"/>
      <c r="J551" s="2">
        <v>0</v>
      </c>
      <c r="K551" s="41" t="s">
        <v>109</v>
      </c>
      <c r="L551" s="2">
        <v>0.25</v>
      </c>
      <c r="M551" s="3">
        <v>40</v>
      </c>
      <c r="N551" s="2">
        <v>0</v>
      </c>
      <c r="O551" s="2">
        <v>0</v>
      </c>
      <c r="P551" s="6">
        <v>0.02</v>
      </c>
      <c r="Q551" s="6">
        <v>0.125</v>
      </c>
      <c r="R551" s="2">
        <v>6.2500000000000001E-4</v>
      </c>
      <c r="T551" s="41">
        <v>8</v>
      </c>
      <c r="Y551" s="7"/>
      <c r="AA551" s="8"/>
      <c r="AB551" s="9"/>
      <c r="AE551" s="10"/>
      <c r="AF551" s="11"/>
      <c r="AG551"/>
    </row>
    <row r="552" spans="1:33" x14ac:dyDescent="0.2">
      <c r="A552" s="39" t="s">
        <v>329</v>
      </c>
      <c r="B552" s="5" t="s">
        <v>15</v>
      </c>
      <c r="C552" s="2"/>
      <c r="D552" s="3"/>
      <c r="E552" s="40" t="s">
        <v>356</v>
      </c>
      <c r="F552" s="2"/>
      <c r="G552" s="2">
        <v>0</v>
      </c>
      <c r="H552" s="40"/>
      <c r="I552" s="2"/>
      <c r="J552" s="2">
        <v>0</v>
      </c>
      <c r="K552" s="41" t="s">
        <v>147</v>
      </c>
      <c r="L552" s="2">
        <v>0.125</v>
      </c>
      <c r="M552" s="3">
        <v>20</v>
      </c>
      <c r="N552" s="2">
        <v>0</v>
      </c>
      <c r="O552" s="2">
        <v>0</v>
      </c>
      <c r="P552" s="6">
        <v>1.4999999999999999E-2</v>
      </c>
      <c r="Q552" s="6">
        <v>1</v>
      </c>
      <c r="R552" s="2">
        <v>1.8749999999999999E-3</v>
      </c>
      <c r="T552" s="41">
        <v>8</v>
      </c>
      <c r="Y552" s="7"/>
      <c r="AA552" s="8"/>
      <c r="AB552" s="9"/>
      <c r="AE552" s="10"/>
      <c r="AF552" s="11"/>
      <c r="AG552"/>
    </row>
    <row r="553" spans="1:33" x14ac:dyDescent="0.2">
      <c r="A553" s="39" t="s">
        <v>284</v>
      </c>
      <c r="B553" s="5" t="s">
        <v>15</v>
      </c>
      <c r="C553" s="2"/>
      <c r="D553" s="3"/>
      <c r="E553" s="40" t="s">
        <v>355</v>
      </c>
      <c r="F553" s="2"/>
      <c r="G553" s="2">
        <v>0</v>
      </c>
      <c r="H553" s="40"/>
      <c r="I553" s="2"/>
      <c r="J553" s="2">
        <v>0</v>
      </c>
      <c r="K553" s="41" t="s">
        <v>30</v>
      </c>
      <c r="L553" s="2">
        <v>0.75</v>
      </c>
      <c r="M553" s="3">
        <v>120</v>
      </c>
      <c r="N553" s="2">
        <v>0</v>
      </c>
      <c r="O553" s="2">
        <v>0</v>
      </c>
      <c r="P553" s="6">
        <v>3.3333330000000001E-2</v>
      </c>
      <c r="Q553" s="6">
        <v>3.125E-2</v>
      </c>
      <c r="R553" s="2">
        <v>7.8125000000000004E-4</v>
      </c>
      <c r="T553" s="41">
        <v>8</v>
      </c>
      <c r="Y553" s="7"/>
      <c r="AA553" s="8"/>
      <c r="AB553" s="9"/>
      <c r="AE553" s="10"/>
      <c r="AF553" s="11"/>
      <c r="AG553"/>
    </row>
    <row r="554" spans="1:33" x14ac:dyDescent="0.2">
      <c r="A554" s="39" t="s">
        <v>284</v>
      </c>
      <c r="B554" s="5" t="s">
        <v>15</v>
      </c>
      <c r="C554" s="2"/>
      <c r="D554" s="3"/>
      <c r="E554" s="40" t="s">
        <v>354</v>
      </c>
      <c r="F554" s="2"/>
      <c r="G554" s="2">
        <v>0</v>
      </c>
      <c r="H554" s="40"/>
      <c r="I554" s="2"/>
      <c r="J554" s="2">
        <v>0</v>
      </c>
      <c r="K554" s="41" t="s">
        <v>109</v>
      </c>
      <c r="L554" s="2">
        <v>0.25</v>
      </c>
      <c r="M554" s="3">
        <v>40</v>
      </c>
      <c r="N554" s="2">
        <v>0</v>
      </c>
      <c r="O554" s="2">
        <v>0</v>
      </c>
      <c r="P554" s="6">
        <v>0.02</v>
      </c>
      <c r="Q554" s="6">
        <v>3.125E-2</v>
      </c>
      <c r="R554" s="2">
        <v>1.5625E-4</v>
      </c>
      <c r="T554" s="41">
        <v>8</v>
      </c>
      <c r="Y554" s="7"/>
      <c r="AA554" s="8"/>
      <c r="AB554" s="9"/>
      <c r="AE554" s="10"/>
      <c r="AF554" s="11"/>
      <c r="AG554"/>
    </row>
    <row r="555" spans="1:33" x14ac:dyDescent="0.2">
      <c r="A555" s="39" t="s">
        <v>287</v>
      </c>
      <c r="B555" s="5" t="s">
        <v>15</v>
      </c>
      <c r="C555" s="2"/>
      <c r="D555" s="3"/>
      <c r="E555" s="40" t="s">
        <v>355</v>
      </c>
      <c r="F555" s="2"/>
      <c r="G555" s="2">
        <v>0</v>
      </c>
      <c r="H555" s="40"/>
      <c r="I555" s="2"/>
      <c r="J555" s="2">
        <v>0</v>
      </c>
      <c r="K555" s="41" t="s">
        <v>30</v>
      </c>
      <c r="L555" s="2">
        <v>0.75</v>
      </c>
      <c r="M555" s="3">
        <v>120</v>
      </c>
      <c r="N555" s="2">
        <v>0</v>
      </c>
      <c r="O555" s="2">
        <v>0</v>
      </c>
      <c r="P555" s="6">
        <v>3.3333330000000001E-2</v>
      </c>
      <c r="Q555" s="6">
        <v>6.25E-2</v>
      </c>
      <c r="R555" s="2">
        <v>1.5625000000000001E-3</v>
      </c>
      <c r="T555" s="41">
        <v>8</v>
      </c>
      <c r="Y555" s="7"/>
      <c r="AA555" s="8"/>
      <c r="AB555" s="9"/>
      <c r="AE555" s="10"/>
      <c r="AF555" s="11"/>
      <c r="AG555"/>
    </row>
    <row r="556" spans="1:33" x14ac:dyDescent="0.2">
      <c r="A556" s="39" t="s">
        <v>287</v>
      </c>
      <c r="B556" s="5" t="s">
        <v>15</v>
      </c>
      <c r="C556" s="2"/>
      <c r="D556" s="3"/>
      <c r="E556" s="40" t="s">
        <v>354</v>
      </c>
      <c r="F556" s="2"/>
      <c r="G556" s="2">
        <v>0</v>
      </c>
      <c r="H556" s="40"/>
      <c r="I556" s="2"/>
      <c r="J556" s="2">
        <v>0</v>
      </c>
      <c r="K556" s="41" t="s">
        <v>109</v>
      </c>
      <c r="L556" s="2">
        <v>0.25</v>
      </c>
      <c r="M556" s="3">
        <v>40</v>
      </c>
      <c r="N556" s="2">
        <v>0</v>
      </c>
      <c r="O556" s="2">
        <v>0</v>
      </c>
      <c r="P556" s="6">
        <v>0.02</v>
      </c>
      <c r="Q556" s="6">
        <v>6.25E-2</v>
      </c>
      <c r="R556" s="2">
        <v>3.1250000000000001E-4</v>
      </c>
      <c r="T556" s="41">
        <v>8</v>
      </c>
      <c r="Y556" s="7"/>
      <c r="AA556" s="8"/>
      <c r="AB556" s="9"/>
      <c r="AE556" s="10"/>
      <c r="AF556" s="11"/>
      <c r="AG556"/>
    </row>
    <row r="557" spans="1:33" x14ac:dyDescent="0.2">
      <c r="A557" s="39" t="s">
        <v>288</v>
      </c>
      <c r="B557" s="5" t="s">
        <v>15</v>
      </c>
      <c r="C557" s="2"/>
      <c r="D557" s="3"/>
      <c r="E557" s="40" t="s">
        <v>355</v>
      </c>
      <c r="F557" s="2"/>
      <c r="G557" s="2">
        <v>0</v>
      </c>
      <c r="H557" s="40"/>
      <c r="I557" s="2"/>
      <c r="J557" s="2">
        <v>0</v>
      </c>
      <c r="K557" s="41" t="s">
        <v>30</v>
      </c>
      <c r="L557" s="2">
        <v>0.75</v>
      </c>
      <c r="M557" s="3">
        <v>120</v>
      </c>
      <c r="N557" s="2">
        <v>0</v>
      </c>
      <c r="O557" s="2">
        <v>0</v>
      </c>
      <c r="P557" s="6">
        <v>3.3333330000000001E-2</v>
      </c>
      <c r="Q557" s="6">
        <v>0.125</v>
      </c>
      <c r="R557" s="2">
        <v>3.1250000000000002E-3</v>
      </c>
      <c r="T557" s="41">
        <v>8</v>
      </c>
      <c r="Y557" s="7"/>
      <c r="AA557" s="8"/>
      <c r="AB557" s="9"/>
      <c r="AE557" s="10"/>
      <c r="AF557" s="11"/>
      <c r="AG557"/>
    </row>
    <row r="558" spans="1:33" x14ac:dyDescent="0.2">
      <c r="A558" s="39" t="s">
        <v>288</v>
      </c>
      <c r="B558" s="5" t="s">
        <v>15</v>
      </c>
      <c r="C558" s="2"/>
      <c r="D558" s="3"/>
      <c r="E558" s="40" t="s">
        <v>354</v>
      </c>
      <c r="F558" s="2"/>
      <c r="G558" s="2">
        <v>0</v>
      </c>
      <c r="H558" s="40"/>
      <c r="I558" s="2"/>
      <c r="J558" s="2">
        <v>0</v>
      </c>
      <c r="K558" s="41" t="s">
        <v>109</v>
      </c>
      <c r="L558" s="2">
        <v>0.25</v>
      </c>
      <c r="M558" s="3">
        <v>40</v>
      </c>
      <c r="N558" s="2">
        <v>0</v>
      </c>
      <c r="O558" s="2">
        <v>0</v>
      </c>
      <c r="P558" s="6">
        <v>0.02</v>
      </c>
      <c r="Q558" s="6">
        <v>0.125</v>
      </c>
      <c r="R558" s="2">
        <v>6.2500000000000001E-4</v>
      </c>
      <c r="T558" s="41">
        <v>8</v>
      </c>
      <c r="Y558" s="7"/>
      <c r="AA558" s="8"/>
      <c r="AB558" s="9"/>
      <c r="AE558" s="10"/>
      <c r="AF558" s="11"/>
      <c r="AG558"/>
    </row>
    <row r="559" spans="1:33" ht="25.5" x14ac:dyDescent="0.2">
      <c r="A559" s="39" t="s">
        <v>289</v>
      </c>
      <c r="B559" s="5" t="s">
        <v>15</v>
      </c>
      <c r="C559" s="2"/>
      <c r="D559" s="3"/>
      <c r="E559" s="40" t="s">
        <v>355</v>
      </c>
      <c r="F559" s="2"/>
      <c r="G559" s="2">
        <v>0</v>
      </c>
      <c r="H559" s="40"/>
      <c r="I559" s="2"/>
      <c r="J559" s="2">
        <v>0</v>
      </c>
      <c r="K559" s="41" t="s">
        <v>141</v>
      </c>
      <c r="L559" s="2">
        <v>0.75</v>
      </c>
      <c r="M559" s="3">
        <v>120</v>
      </c>
      <c r="N559" s="2">
        <v>0</v>
      </c>
      <c r="O559" s="2">
        <v>0</v>
      </c>
      <c r="P559" s="6">
        <v>3.3333330000000001E-2</v>
      </c>
      <c r="Q559" s="6">
        <v>8.3349999999999994E-2</v>
      </c>
      <c r="R559" s="2">
        <v>2.0837500000000001E-3</v>
      </c>
      <c r="T559" s="41">
        <v>8</v>
      </c>
      <c r="Y559" s="7"/>
      <c r="AA559" s="8"/>
      <c r="AB559" s="9"/>
      <c r="AE559" s="10"/>
      <c r="AF559" s="11"/>
      <c r="AG559"/>
    </row>
    <row r="560" spans="1:33" ht="25.5" x14ac:dyDescent="0.2">
      <c r="A560" s="39" t="s">
        <v>289</v>
      </c>
      <c r="B560" s="5" t="s">
        <v>15</v>
      </c>
      <c r="C560" s="2"/>
      <c r="D560" s="3"/>
      <c r="E560" s="40" t="s">
        <v>354</v>
      </c>
      <c r="F560" s="2"/>
      <c r="G560" s="2">
        <v>0</v>
      </c>
      <c r="H560" s="40"/>
      <c r="I560" s="2"/>
      <c r="J560" s="2">
        <v>0</v>
      </c>
      <c r="K560" s="41" t="s">
        <v>141</v>
      </c>
      <c r="L560" s="2">
        <v>0.25</v>
      </c>
      <c r="M560" s="3">
        <v>40</v>
      </c>
      <c r="N560" s="2">
        <v>0</v>
      </c>
      <c r="O560" s="2">
        <v>0</v>
      </c>
      <c r="P560" s="6">
        <v>0.02</v>
      </c>
      <c r="Q560" s="6">
        <v>8.3349999999999994E-2</v>
      </c>
      <c r="R560" s="2">
        <v>4.1675000000000002E-4</v>
      </c>
      <c r="T560" s="41">
        <v>8</v>
      </c>
      <c r="Y560" s="7"/>
      <c r="AA560" s="8"/>
      <c r="AB560" s="9"/>
      <c r="AE560" s="10"/>
      <c r="AF560" s="11"/>
      <c r="AG560"/>
    </row>
    <row r="561" spans="1:33" x14ac:dyDescent="0.2">
      <c r="A561" s="39" t="s">
        <v>291</v>
      </c>
      <c r="B561" s="5" t="s">
        <v>15</v>
      </c>
      <c r="C561" s="2"/>
      <c r="D561" s="3"/>
      <c r="E561" s="40" t="s">
        <v>355</v>
      </c>
      <c r="F561" s="2"/>
      <c r="G561" s="2">
        <v>0</v>
      </c>
      <c r="H561" s="40"/>
      <c r="I561" s="2"/>
      <c r="J561" s="2">
        <v>0</v>
      </c>
      <c r="K561" s="41" t="s">
        <v>151</v>
      </c>
      <c r="L561" s="2">
        <v>0.75</v>
      </c>
      <c r="M561" s="3">
        <v>120</v>
      </c>
      <c r="N561" s="2">
        <v>0</v>
      </c>
      <c r="O561" s="2">
        <v>0</v>
      </c>
      <c r="P561" s="6">
        <v>3.3333330000000001E-2</v>
      </c>
      <c r="Q561" s="6">
        <v>6.25E-2</v>
      </c>
      <c r="R561" s="2">
        <v>1.5625000000000001E-3</v>
      </c>
      <c r="T561" s="41">
        <v>8</v>
      </c>
      <c r="Y561" s="7"/>
      <c r="AA561" s="8"/>
      <c r="AB561" s="9"/>
      <c r="AE561" s="10"/>
      <c r="AF561" s="11"/>
      <c r="AG561"/>
    </row>
    <row r="562" spans="1:33" x14ac:dyDescent="0.2">
      <c r="A562" s="39" t="s">
        <v>291</v>
      </c>
      <c r="B562" s="5" t="s">
        <v>15</v>
      </c>
      <c r="C562" s="2"/>
      <c r="D562" s="3"/>
      <c r="E562" s="40" t="s">
        <v>354</v>
      </c>
      <c r="F562" s="2"/>
      <c r="G562" s="2">
        <v>0</v>
      </c>
      <c r="H562" s="40"/>
      <c r="I562" s="2"/>
      <c r="J562" s="2">
        <v>0</v>
      </c>
      <c r="K562" s="41" t="s">
        <v>151</v>
      </c>
      <c r="L562" s="2">
        <v>0.25</v>
      </c>
      <c r="M562" s="3">
        <v>40</v>
      </c>
      <c r="N562" s="2">
        <v>0</v>
      </c>
      <c r="O562" s="2">
        <v>0</v>
      </c>
      <c r="P562" s="6">
        <v>0.02</v>
      </c>
      <c r="Q562" s="6">
        <v>6.25E-2</v>
      </c>
      <c r="R562" s="2">
        <v>3.1250000000000001E-4</v>
      </c>
      <c r="T562" s="41">
        <v>8</v>
      </c>
      <c r="Y562" s="7"/>
      <c r="AA562" s="8"/>
      <c r="AB562" s="9"/>
      <c r="AE562" s="10"/>
      <c r="AF562" s="11"/>
      <c r="AG562"/>
    </row>
    <row r="563" spans="1:33" x14ac:dyDescent="0.2">
      <c r="A563" s="39" t="s">
        <v>337</v>
      </c>
      <c r="B563" s="5" t="s">
        <v>52</v>
      </c>
      <c r="C563" s="2">
        <v>9.375E-2</v>
      </c>
      <c r="D563" s="3">
        <v>15</v>
      </c>
      <c r="E563" s="40" t="s">
        <v>355</v>
      </c>
      <c r="F563" s="2"/>
      <c r="G563" s="2">
        <v>0</v>
      </c>
      <c r="H563" s="40"/>
      <c r="I563" s="2">
        <v>0.83333333330000003</v>
      </c>
      <c r="J563" s="2">
        <v>3.3333330000000001E-2</v>
      </c>
      <c r="K563" s="41" t="s">
        <v>30</v>
      </c>
      <c r="M563" s="3"/>
      <c r="N563" s="2">
        <v>0</v>
      </c>
      <c r="O563" s="2">
        <v>0</v>
      </c>
      <c r="P563" s="6">
        <v>0</v>
      </c>
      <c r="Q563" s="6">
        <v>0</v>
      </c>
      <c r="R563" s="2">
        <v>7.4999999999999997E-2</v>
      </c>
      <c r="T563" s="41">
        <v>8</v>
      </c>
      <c r="Y563" s="7"/>
      <c r="AA563" s="8"/>
      <c r="AB563" s="9"/>
      <c r="AE563" s="10"/>
      <c r="AF563" s="11"/>
      <c r="AG563"/>
    </row>
    <row r="564" spans="1:33" x14ac:dyDescent="0.2">
      <c r="A564" s="39" t="s">
        <v>337</v>
      </c>
      <c r="B564" s="5" t="s">
        <v>52</v>
      </c>
      <c r="C564" s="2">
        <v>1.5625E-2</v>
      </c>
      <c r="D564" s="3">
        <v>2.5</v>
      </c>
      <c r="E564" s="40" t="s">
        <v>129</v>
      </c>
      <c r="F564" s="2"/>
      <c r="G564" s="2">
        <v>0</v>
      </c>
      <c r="H564" s="40"/>
      <c r="I564" s="2">
        <v>0.8</v>
      </c>
      <c r="J564" s="2">
        <v>0.02</v>
      </c>
      <c r="K564" s="41" t="s">
        <v>109</v>
      </c>
      <c r="M564" s="3"/>
      <c r="N564" s="2">
        <v>0</v>
      </c>
      <c r="O564" s="2">
        <v>0</v>
      </c>
      <c r="P564" s="6">
        <v>0</v>
      </c>
      <c r="Q564" s="6">
        <v>0</v>
      </c>
      <c r="R564" s="2">
        <v>1.21875E-2</v>
      </c>
      <c r="T564" s="41">
        <v>8</v>
      </c>
      <c r="Y564" s="7"/>
      <c r="AA564" s="8"/>
      <c r="AB564" s="9"/>
      <c r="AE564" s="10"/>
      <c r="AF564" s="11"/>
      <c r="AG564"/>
    </row>
    <row r="565" spans="1:33" x14ac:dyDescent="0.2">
      <c r="A565" s="39" t="s">
        <v>337</v>
      </c>
      <c r="B565" s="5" t="s">
        <v>52</v>
      </c>
      <c r="C565" s="2">
        <v>1.5625E-2</v>
      </c>
      <c r="D565" s="3">
        <v>2.5</v>
      </c>
      <c r="E565" s="40" t="s">
        <v>67</v>
      </c>
      <c r="F565" s="2"/>
      <c r="G565" s="2">
        <v>0</v>
      </c>
      <c r="H565" s="40"/>
      <c r="I565" s="2">
        <v>0.8125</v>
      </c>
      <c r="J565" s="2">
        <v>0.02</v>
      </c>
      <c r="K565" s="41" t="s">
        <v>141</v>
      </c>
      <c r="M565" s="3"/>
      <c r="N565" s="2">
        <v>0</v>
      </c>
      <c r="O565" s="2">
        <v>0</v>
      </c>
      <c r="P565" s="6">
        <v>0</v>
      </c>
      <c r="Q565" s="6">
        <v>0</v>
      </c>
      <c r="R565" s="2">
        <v>1.2382799999999999E-2</v>
      </c>
      <c r="T565" s="41">
        <v>8</v>
      </c>
      <c r="Y565" s="7"/>
      <c r="AA565" s="8"/>
      <c r="AB565" s="9"/>
      <c r="AE565" s="10"/>
      <c r="AF565" s="11"/>
      <c r="AG565"/>
    </row>
    <row r="566" spans="1:33" x14ac:dyDescent="0.2">
      <c r="A566" s="39" t="s">
        <v>82</v>
      </c>
      <c r="B566" s="5" t="s">
        <v>52</v>
      </c>
      <c r="C566" s="2">
        <v>0.5625</v>
      </c>
      <c r="D566" s="3">
        <v>90</v>
      </c>
      <c r="E566" s="40" t="s">
        <v>355</v>
      </c>
      <c r="F566" s="2"/>
      <c r="G566" s="2">
        <v>0</v>
      </c>
      <c r="H566" s="40"/>
      <c r="I566" s="2">
        <v>0.83333333330000003</v>
      </c>
      <c r="J566" s="2">
        <v>3.3333330000000001E-2</v>
      </c>
      <c r="K566" s="41" t="s">
        <v>359</v>
      </c>
      <c r="M566" s="3"/>
      <c r="N566" s="2">
        <v>0</v>
      </c>
      <c r="O566" s="2">
        <v>0</v>
      </c>
      <c r="P566" s="6">
        <v>0</v>
      </c>
      <c r="Q566" s="6">
        <v>0</v>
      </c>
      <c r="R566" s="2">
        <v>0.45</v>
      </c>
      <c r="T566" s="41">
        <v>8</v>
      </c>
      <c r="Y566" s="7"/>
      <c r="AA566" s="8"/>
      <c r="AB566" s="9"/>
      <c r="AE566" s="10"/>
      <c r="AF566" s="11"/>
      <c r="AG566"/>
    </row>
    <row r="567" spans="1:33" x14ac:dyDescent="0.2">
      <c r="A567" s="39" t="s">
        <v>82</v>
      </c>
      <c r="B567" s="5" t="s">
        <v>52</v>
      </c>
      <c r="C567" s="2">
        <v>9.375E-2</v>
      </c>
      <c r="D567" s="3">
        <v>15</v>
      </c>
      <c r="E567" s="40" t="s">
        <v>355</v>
      </c>
      <c r="F567" s="2"/>
      <c r="G567" s="2">
        <v>0</v>
      </c>
      <c r="H567" s="40"/>
      <c r="I567" s="2">
        <v>0.83333333330000003</v>
      </c>
      <c r="J567" s="2">
        <v>4.8333330000000001E-2</v>
      </c>
      <c r="K567" s="41" t="s">
        <v>360</v>
      </c>
      <c r="M567" s="3"/>
      <c r="N567" s="2">
        <v>0</v>
      </c>
      <c r="O567" s="2">
        <v>0</v>
      </c>
      <c r="P567" s="6">
        <v>0</v>
      </c>
      <c r="Q567" s="6">
        <v>0</v>
      </c>
      <c r="R567" s="2">
        <v>7.3593749999999999E-2</v>
      </c>
      <c r="T567" s="41">
        <v>8</v>
      </c>
      <c r="Y567" s="7"/>
      <c r="AA567" s="8"/>
      <c r="AB567" s="9"/>
      <c r="AE567" s="10"/>
      <c r="AF567" s="11"/>
      <c r="AG567"/>
    </row>
    <row r="568" spans="1:33" x14ac:dyDescent="0.2">
      <c r="A568" s="39" t="s">
        <v>82</v>
      </c>
      <c r="B568" s="5" t="s">
        <v>52</v>
      </c>
      <c r="C568" s="2">
        <v>9.375E-2</v>
      </c>
      <c r="D568" s="3">
        <v>15</v>
      </c>
      <c r="E568" s="40" t="s">
        <v>129</v>
      </c>
      <c r="F568" s="2"/>
      <c r="G568" s="2">
        <v>0</v>
      </c>
      <c r="H568" s="40"/>
      <c r="I568" s="2">
        <v>0.8</v>
      </c>
      <c r="J568" s="2">
        <v>0.02</v>
      </c>
      <c r="K568" s="41" t="s">
        <v>109</v>
      </c>
      <c r="M568" s="3"/>
      <c r="N568" s="2">
        <v>0</v>
      </c>
      <c r="O568" s="2">
        <v>0</v>
      </c>
      <c r="P568" s="6">
        <v>0</v>
      </c>
      <c r="Q568" s="6">
        <v>0</v>
      </c>
      <c r="R568" s="2">
        <v>7.3124999999999996E-2</v>
      </c>
      <c r="T568" s="41">
        <v>8</v>
      </c>
      <c r="Y568" s="7"/>
      <c r="AA568" s="8"/>
      <c r="AB568" s="9"/>
      <c r="AE568" s="10"/>
      <c r="AF568" s="11"/>
      <c r="AG568"/>
    </row>
    <row r="569" spans="1:33" x14ac:dyDescent="0.2">
      <c r="A569" s="39" t="s">
        <v>82</v>
      </c>
      <c r="B569" s="5" t="s">
        <v>52</v>
      </c>
      <c r="C569" s="2">
        <v>1.5625E-2</v>
      </c>
      <c r="D569" s="3">
        <v>2.5</v>
      </c>
      <c r="E569" s="40" t="s">
        <v>129</v>
      </c>
      <c r="F569" s="2"/>
      <c r="G569" s="2">
        <v>0</v>
      </c>
      <c r="H569" s="40"/>
      <c r="I569" s="2">
        <v>0.8</v>
      </c>
      <c r="J569" s="2">
        <v>3.5000000000000003E-2</v>
      </c>
      <c r="K569" s="41" t="s">
        <v>358</v>
      </c>
      <c r="M569" s="3"/>
      <c r="N569" s="2">
        <v>0</v>
      </c>
      <c r="O569" s="2">
        <v>0</v>
      </c>
      <c r="P569" s="6">
        <v>0</v>
      </c>
      <c r="Q569" s="6">
        <v>0</v>
      </c>
      <c r="R569" s="2">
        <v>1.1953129999999999E-2</v>
      </c>
      <c r="T569" s="41">
        <v>8</v>
      </c>
      <c r="Y569" s="7"/>
      <c r="AA569" s="8"/>
      <c r="AB569" s="9"/>
      <c r="AE569" s="10"/>
      <c r="AF569" s="11"/>
      <c r="AG569"/>
    </row>
    <row r="570" spans="1:33" x14ac:dyDescent="0.2">
      <c r="A570" s="39" t="s">
        <v>82</v>
      </c>
      <c r="B570" s="5" t="s">
        <v>52</v>
      </c>
      <c r="C570" s="2">
        <v>1.5625E-2</v>
      </c>
      <c r="D570" s="3">
        <v>2.5</v>
      </c>
      <c r="E570" s="40" t="s">
        <v>67</v>
      </c>
      <c r="F570" s="2"/>
      <c r="G570" s="2">
        <v>0</v>
      </c>
      <c r="H570" s="40"/>
      <c r="I570" s="2">
        <v>0.8125</v>
      </c>
      <c r="J570" s="2">
        <v>3.5000000000000003E-2</v>
      </c>
      <c r="K570" s="41" t="s">
        <v>357</v>
      </c>
      <c r="M570" s="3"/>
      <c r="N570" s="2">
        <v>0</v>
      </c>
      <c r="O570" s="2">
        <v>0</v>
      </c>
      <c r="P570" s="6">
        <v>0</v>
      </c>
      <c r="Q570" s="6">
        <v>0</v>
      </c>
      <c r="R570" s="2">
        <v>1.214844E-2</v>
      </c>
      <c r="T570" s="41">
        <v>8</v>
      </c>
      <c r="Y570" s="7"/>
      <c r="AA570" s="8"/>
      <c r="AB570" s="9"/>
      <c r="AE570" s="10"/>
      <c r="AF570" s="11"/>
      <c r="AG570"/>
    </row>
    <row r="571" spans="1:33" x14ac:dyDescent="0.2">
      <c r="A571" s="39" t="s">
        <v>82</v>
      </c>
      <c r="B571" s="5" t="s">
        <v>52</v>
      </c>
      <c r="C571" s="2">
        <v>9.375E-2</v>
      </c>
      <c r="D571" s="3">
        <v>15</v>
      </c>
      <c r="E571" s="40" t="s">
        <v>67</v>
      </c>
      <c r="F571" s="2"/>
      <c r="G571" s="2">
        <v>0</v>
      </c>
      <c r="H571" s="40"/>
      <c r="I571" s="2">
        <v>0.8125</v>
      </c>
      <c r="J571" s="2">
        <v>0.02</v>
      </c>
      <c r="K571" s="41" t="s">
        <v>141</v>
      </c>
      <c r="M571" s="3"/>
      <c r="N571" s="2">
        <v>0</v>
      </c>
      <c r="O571" s="2">
        <v>0</v>
      </c>
      <c r="P571" s="6">
        <v>0</v>
      </c>
      <c r="Q571" s="6">
        <v>0</v>
      </c>
      <c r="R571" s="2">
        <v>7.4296879999999996E-2</v>
      </c>
      <c r="T571" s="41">
        <v>8</v>
      </c>
      <c r="Y571" s="7"/>
      <c r="AA571" s="8"/>
      <c r="AB571" s="9"/>
      <c r="AE571" s="10"/>
      <c r="AF571" s="11"/>
      <c r="AG571"/>
    </row>
    <row r="572" spans="1:33" x14ac:dyDescent="0.2">
      <c r="A572" s="39" t="s">
        <v>345</v>
      </c>
      <c r="B572" s="5" t="s">
        <v>21</v>
      </c>
      <c r="C572" s="2">
        <v>0.25</v>
      </c>
      <c r="D572" s="3">
        <v>30</v>
      </c>
      <c r="E572" s="40" t="s">
        <v>346</v>
      </c>
      <c r="F572" s="2">
        <v>0.16666666999999999</v>
      </c>
      <c r="G572" s="2">
        <v>0</v>
      </c>
      <c r="H572" s="40"/>
      <c r="I572" s="2"/>
      <c r="J572" s="2">
        <v>0</v>
      </c>
      <c r="K572" s="41"/>
      <c r="M572" s="3"/>
      <c r="N572" s="2">
        <v>0</v>
      </c>
      <c r="O572" s="2">
        <v>0</v>
      </c>
      <c r="P572" s="6">
        <v>0</v>
      </c>
      <c r="Q572" s="6">
        <v>0</v>
      </c>
      <c r="R572" s="2">
        <v>4.1666660000000001E-2</v>
      </c>
      <c r="T572" s="41">
        <v>9</v>
      </c>
      <c r="Y572" s="7"/>
      <c r="AA572" s="8"/>
      <c r="AB572" s="9"/>
      <c r="AE572" s="10"/>
      <c r="AF572" s="11"/>
      <c r="AG572"/>
    </row>
    <row r="573" spans="1:33" x14ac:dyDescent="0.2">
      <c r="A573" s="39" t="s">
        <v>347</v>
      </c>
      <c r="B573" s="5" t="s">
        <v>21</v>
      </c>
      <c r="C573" s="2">
        <v>0.125</v>
      </c>
      <c r="D573" s="3">
        <v>15</v>
      </c>
      <c r="E573" s="40" t="s">
        <v>132</v>
      </c>
      <c r="F573" s="2">
        <v>0.16666666999999999</v>
      </c>
      <c r="G573" s="2">
        <v>0</v>
      </c>
      <c r="H573" s="40"/>
      <c r="I573" s="2"/>
      <c r="J573" s="2">
        <v>0</v>
      </c>
      <c r="K573" s="41"/>
      <c r="M573" s="3"/>
      <c r="N573" s="2">
        <v>0</v>
      </c>
      <c r="O573" s="2">
        <v>0</v>
      </c>
      <c r="P573" s="6">
        <v>0</v>
      </c>
      <c r="Q573" s="6">
        <v>0</v>
      </c>
      <c r="R573" s="2">
        <v>2.0833330000000001E-2</v>
      </c>
      <c r="T573" s="41">
        <v>9</v>
      </c>
      <c r="Y573" s="7"/>
      <c r="AA573" s="8"/>
      <c r="AB573" s="9"/>
      <c r="AE573" s="10"/>
      <c r="AF573" s="11"/>
      <c r="AG573"/>
    </row>
    <row r="574" spans="1:33" x14ac:dyDescent="0.2">
      <c r="A574" s="39" t="s">
        <v>348</v>
      </c>
      <c r="B574" s="5" t="s">
        <v>21</v>
      </c>
      <c r="C574" s="2">
        <v>0.125</v>
      </c>
      <c r="D574" s="3">
        <v>15</v>
      </c>
      <c r="E574" s="40" t="s">
        <v>67</v>
      </c>
      <c r="F574" s="2">
        <v>0.1875</v>
      </c>
      <c r="G574" s="2">
        <v>0</v>
      </c>
      <c r="H574" s="40"/>
      <c r="I574" s="2"/>
      <c r="J574" s="2">
        <v>0</v>
      </c>
      <c r="K574" s="41"/>
      <c r="M574" s="3"/>
      <c r="N574" s="2">
        <v>0</v>
      </c>
      <c r="O574" s="2">
        <v>0</v>
      </c>
      <c r="P574" s="6">
        <v>0</v>
      </c>
      <c r="Q574" s="6">
        <v>0</v>
      </c>
      <c r="R574" s="2">
        <v>2.34375E-2</v>
      </c>
      <c r="T574" s="41">
        <v>9</v>
      </c>
      <c r="Y574" s="7"/>
      <c r="AA574" s="8"/>
      <c r="AB574" s="9"/>
      <c r="AE574" s="10"/>
      <c r="AF574" s="11"/>
      <c r="AG574"/>
    </row>
    <row r="575" spans="1:33" ht="38.25" x14ac:dyDescent="0.2">
      <c r="A575" s="39" t="s">
        <v>349</v>
      </c>
      <c r="B575" s="5" t="s">
        <v>21</v>
      </c>
      <c r="C575" s="2">
        <v>6.25E-2</v>
      </c>
      <c r="D575" s="3">
        <v>7.5</v>
      </c>
      <c r="E575" s="40" t="s">
        <v>94</v>
      </c>
      <c r="F575" s="2">
        <v>0.16666666999999999</v>
      </c>
      <c r="G575" s="2">
        <v>0</v>
      </c>
      <c r="H575" s="40"/>
      <c r="I575" s="2"/>
      <c r="J575" s="2">
        <v>0</v>
      </c>
      <c r="K575" s="41"/>
      <c r="M575" s="3"/>
      <c r="N575" s="2">
        <v>0</v>
      </c>
      <c r="O575" s="2">
        <v>0</v>
      </c>
      <c r="P575" s="6">
        <v>0</v>
      </c>
      <c r="Q575" s="6">
        <v>0</v>
      </c>
      <c r="R575" s="2">
        <v>1.0416669999999999E-2</v>
      </c>
      <c r="T575" s="41">
        <v>9</v>
      </c>
      <c r="Y575" s="7"/>
      <c r="AA575" s="8"/>
      <c r="AB575" s="9"/>
      <c r="AE575" s="10"/>
      <c r="AF575" s="11"/>
      <c r="AG575"/>
    </row>
    <row r="576" spans="1:33" ht="38.25" x14ac:dyDescent="0.2">
      <c r="A576" s="39" t="s">
        <v>350</v>
      </c>
      <c r="B576" s="5" t="s">
        <v>21</v>
      </c>
      <c r="C576" s="2">
        <v>6.25E-2</v>
      </c>
      <c r="D576" s="3">
        <v>7.5</v>
      </c>
      <c r="E576" s="40" t="s">
        <v>77</v>
      </c>
      <c r="F576" s="2">
        <v>0.16666666999999999</v>
      </c>
      <c r="G576" s="2">
        <v>0</v>
      </c>
      <c r="H576" s="40"/>
      <c r="I576" s="2"/>
      <c r="J576" s="2">
        <v>0</v>
      </c>
      <c r="K576" s="41"/>
      <c r="M576" s="3"/>
      <c r="N576" s="2">
        <v>0</v>
      </c>
      <c r="O576" s="2">
        <v>0</v>
      </c>
      <c r="P576" s="6">
        <v>0</v>
      </c>
      <c r="Q576" s="6">
        <v>0</v>
      </c>
      <c r="R576" s="2">
        <v>1.0416669999999999E-2</v>
      </c>
      <c r="T576" s="41">
        <v>9</v>
      </c>
      <c r="Y576" s="7"/>
      <c r="AA576" s="8"/>
      <c r="AB576" s="9"/>
      <c r="AE576" s="10"/>
      <c r="AF576" s="11"/>
      <c r="AG576"/>
    </row>
    <row r="577" spans="1:33" ht="38.25" x14ac:dyDescent="0.2">
      <c r="A577" s="39" t="s">
        <v>351</v>
      </c>
      <c r="B577" s="5" t="s">
        <v>21</v>
      </c>
      <c r="C577" s="2">
        <v>0.25</v>
      </c>
      <c r="D577" s="3">
        <v>30</v>
      </c>
      <c r="E577" s="40" t="s">
        <v>352</v>
      </c>
      <c r="F577" s="2">
        <v>0.16666666999999999</v>
      </c>
      <c r="G577" s="2">
        <v>0</v>
      </c>
      <c r="H577" s="40"/>
      <c r="I577" s="2"/>
      <c r="J577" s="2">
        <v>0</v>
      </c>
      <c r="K577" s="41"/>
      <c r="M577" s="3"/>
      <c r="N577" s="2">
        <v>0</v>
      </c>
      <c r="O577" s="2">
        <v>0</v>
      </c>
      <c r="P577" s="6">
        <v>0</v>
      </c>
      <c r="Q577" s="6">
        <v>0</v>
      </c>
      <c r="R577" s="2">
        <v>4.1666670000000003E-2</v>
      </c>
      <c r="T577" s="41">
        <v>9</v>
      </c>
      <c r="Y577" s="7"/>
      <c r="AA577" s="8"/>
      <c r="AB577" s="9"/>
      <c r="AE577" s="10"/>
      <c r="AF577" s="11"/>
      <c r="AG577"/>
    </row>
    <row r="578" spans="1:33" x14ac:dyDescent="0.2">
      <c r="A578" s="39" t="s">
        <v>353</v>
      </c>
      <c r="B578" s="5" t="s">
        <v>21</v>
      </c>
      <c r="C578" s="2">
        <v>0.125</v>
      </c>
      <c r="D578" s="3">
        <v>15</v>
      </c>
      <c r="E578" s="40" t="s">
        <v>129</v>
      </c>
      <c r="F578" s="2">
        <v>0.2</v>
      </c>
      <c r="G578" s="2">
        <v>0</v>
      </c>
      <c r="H578" s="40"/>
      <c r="I578" s="2"/>
      <c r="J578" s="2">
        <v>0</v>
      </c>
      <c r="K578" s="41"/>
      <c r="M578" s="3"/>
      <c r="N578" s="2">
        <v>0</v>
      </c>
      <c r="O578" s="2">
        <v>0</v>
      </c>
      <c r="P578" s="6">
        <v>0</v>
      </c>
      <c r="Q578" s="6">
        <v>0</v>
      </c>
      <c r="R578" s="2">
        <v>2.5000000000000001E-2</v>
      </c>
      <c r="T578" s="41">
        <v>9</v>
      </c>
      <c r="Y578" s="7"/>
      <c r="AA578" s="8"/>
      <c r="AB578" s="9"/>
      <c r="AE578" s="10"/>
      <c r="AF578" s="11"/>
      <c r="AG578"/>
    </row>
    <row r="579" spans="1:33" x14ac:dyDescent="0.2">
      <c r="A579" s="39" t="s">
        <v>119</v>
      </c>
      <c r="B579" s="5" t="s">
        <v>13</v>
      </c>
      <c r="C579" s="2"/>
      <c r="D579" s="3"/>
      <c r="E579" s="40"/>
      <c r="F579" s="2"/>
      <c r="G579" s="2">
        <v>0</v>
      </c>
      <c r="H579" s="40"/>
      <c r="I579" s="2"/>
      <c r="J579" s="2">
        <v>0</v>
      </c>
      <c r="K579" s="41"/>
      <c r="M579" s="3">
        <v>0</v>
      </c>
      <c r="N579" s="2">
        <v>0</v>
      </c>
      <c r="O579" s="2">
        <v>0</v>
      </c>
      <c r="P579" s="6">
        <v>0</v>
      </c>
      <c r="Q579" s="6">
        <v>0</v>
      </c>
      <c r="R579" s="2">
        <v>0</v>
      </c>
      <c r="T579" s="41">
        <v>9</v>
      </c>
      <c r="Y579" s="7"/>
      <c r="AA579" s="8"/>
      <c r="AB579" s="9"/>
      <c r="AE579" s="10"/>
      <c r="AF579" s="11"/>
      <c r="AG579"/>
    </row>
    <row r="580" spans="1:33" x14ac:dyDescent="0.2">
      <c r="A580" s="39" t="s">
        <v>29</v>
      </c>
      <c r="B580" s="5" t="s">
        <v>15</v>
      </c>
      <c r="C580" s="2"/>
      <c r="D580" s="3"/>
      <c r="E580" s="40" t="s">
        <v>355</v>
      </c>
      <c r="F580" s="2"/>
      <c r="G580" s="2">
        <v>0</v>
      </c>
      <c r="H580" s="40"/>
      <c r="I580" s="2"/>
      <c r="J580" s="2">
        <v>0</v>
      </c>
      <c r="K580" s="41" t="s">
        <v>30</v>
      </c>
      <c r="L580" s="2">
        <v>0.75</v>
      </c>
      <c r="M580" s="3">
        <v>30</v>
      </c>
      <c r="N580" s="2">
        <v>0</v>
      </c>
      <c r="O580" s="2">
        <v>0</v>
      </c>
      <c r="P580" s="6">
        <v>3.3333330000000001E-2</v>
      </c>
      <c r="Q580" s="6">
        <v>6.25E-2</v>
      </c>
      <c r="R580" s="2">
        <v>1.5625000000000001E-3</v>
      </c>
      <c r="T580" s="41">
        <v>9</v>
      </c>
      <c r="Y580" s="7"/>
      <c r="AA580" s="8"/>
      <c r="AB580" s="9"/>
      <c r="AE580" s="10"/>
      <c r="AF580" s="11"/>
      <c r="AG580"/>
    </row>
    <row r="581" spans="1:33" x14ac:dyDescent="0.2">
      <c r="A581" s="39" t="s">
        <v>29</v>
      </c>
      <c r="B581" s="5" t="s">
        <v>15</v>
      </c>
      <c r="C581" s="2"/>
      <c r="D581" s="3"/>
      <c r="E581" s="40" t="s">
        <v>361</v>
      </c>
      <c r="F581" s="2"/>
      <c r="G581" s="2">
        <v>0</v>
      </c>
      <c r="H581" s="40"/>
      <c r="I581" s="2"/>
      <c r="J581" s="2">
        <v>0</v>
      </c>
      <c r="K581" s="41" t="s">
        <v>109</v>
      </c>
      <c r="L581" s="2">
        <v>0.25</v>
      </c>
      <c r="M581" s="3">
        <v>90</v>
      </c>
      <c r="N581" s="2">
        <v>0</v>
      </c>
      <c r="O581" s="2">
        <v>0</v>
      </c>
      <c r="P581" s="6">
        <v>0.02</v>
      </c>
      <c r="Q581" s="6">
        <v>6.25E-2</v>
      </c>
      <c r="R581" s="2">
        <v>3.1250000000000001E-4</v>
      </c>
      <c r="T581" s="41">
        <v>9</v>
      </c>
      <c r="Y581" s="7"/>
      <c r="AA581" s="8"/>
      <c r="AB581" s="9"/>
      <c r="AE581" s="10"/>
      <c r="AF581" s="11"/>
      <c r="AG581"/>
    </row>
    <row r="582" spans="1:33" x14ac:dyDescent="0.2">
      <c r="A582" s="39" t="s">
        <v>36</v>
      </c>
      <c r="B582" s="5" t="s">
        <v>15</v>
      </c>
      <c r="C582" s="2"/>
      <c r="D582" s="3"/>
      <c r="E582" s="40" t="s">
        <v>355</v>
      </c>
      <c r="F582" s="2"/>
      <c r="G582" s="2">
        <v>0</v>
      </c>
      <c r="H582" s="40"/>
      <c r="I582" s="2"/>
      <c r="J582" s="2">
        <v>0</v>
      </c>
      <c r="K582" s="41" t="s">
        <v>141</v>
      </c>
      <c r="L582" s="2">
        <v>0.75</v>
      </c>
      <c r="M582" s="3">
        <v>30</v>
      </c>
      <c r="N582" s="2">
        <v>0</v>
      </c>
      <c r="O582" s="2">
        <v>0</v>
      </c>
      <c r="P582" s="6">
        <v>3.3333330000000001E-2</v>
      </c>
      <c r="Q582" s="6">
        <v>2.7799999999999998E-2</v>
      </c>
      <c r="R582" s="2">
        <v>6.9499999999999998E-4</v>
      </c>
      <c r="T582" s="41">
        <v>9</v>
      </c>
      <c r="Y582" s="7"/>
      <c r="AA582" s="8"/>
      <c r="AB582" s="9"/>
      <c r="AE582" s="10"/>
      <c r="AF582" s="11"/>
      <c r="AG582"/>
    </row>
    <row r="583" spans="1:33" x14ac:dyDescent="0.2">
      <c r="A583" s="39" t="s">
        <v>36</v>
      </c>
      <c r="B583" s="5" t="s">
        <v>15</v>
      </c>
      <c r="C583" s="2"/>
      <c r="D583" s="3"/>
      <c r="E583" s="40" t="s">
        <v>361</v>
      </c>
      <c r="F583" s="2"/>
      <c r="G583" s="2">
        <v>0</v>
      </c>
      <c r="H583" s="40"/>
      <c r="I583" s="2"/>
      <c r="J583" s="2">
        <v>0</v>
      </c>
      <c r="K583" s="41" t="s">
        <v>141</v>
      </c>
      <c r="L583" s="2">
        <v>0.25</v>
      </c>
      <c r="M583" s="3">
        <v>90</v>
      </c>
      <c r="N583" s="2">
        <v>0</v>
      </c>
      <c r="O583" s="2">
        <v>0</v>
      </c>
      <c r="P583" s="6">
        <v>0.02</v>
      </c>
      <c r="Q583" s="6">
        <v>2.7799999999999998E-2</v>
      </c>
      <c r="R583" s="2">
        <v>1.3899999999999999E-4</v>
      </c>
      <c r="T583" s="41">
        <v>9</v>
      </c>
      <c r="Y583" s="7"/>
      <c r="AA583" s="8"/>
      <c r="AB583" s="9"/>
      <c r="AE583" s="10"/>
      <c r="AF583" s="11"/>
      <c r="AG583"/>
    </row>
    <row r="584" spans="1:33" x14ac:dyDescent="0.2">
      <c r="A584" s="39" t="s">
        <v>274</v>
      </c>
      <c r="B584" s="5" t="s">
        <v>15</v>
      </c>
      <c r="C584" s="2"/>
      <c r="D584" s="3"/>
      <c r="E584" s="40" t="s">
        <v>355</v>
      </c>
      <c r="F584" s="2"/>
      <c r="G584" s="2">
        <v>0</v>
      </c>
      <c r="H584" s="40"/>
      <c r="I584" s="2"/>
      <c r="J584" s="2">
        <v>0</v>
      </c>
      <c r="K584" s="41" t="s">
        <v>30</v>
      </c>
      <c r="L584" s="2">
        <v>0.75</v>
      </c>
      <c r="M584" s="3">
        <v>30</v>
      </c>
      <c r="N584" s="2">
        <v>0</v>
      </c>
      <c r="O584" s="2">
        <v>0</v>
      </c>
      <c r="P584" s="6">
        <v>3.3333330000000001E-2</v>
      </c>
      <c r="Q584" s="6">
        <v>3.125E-2</v>
      </c>
      <c r="R584" s="2">
        <v>7.8125000000000004E-4</v>
      </c>
      <c r="T584" s="41">
        <v>9</v>
      </c>
      <c r="Y584" s="7"/>
      <c r="AA584" s="8"/>
      <c r="AB584" s="9"/>
      <c r="AE584" s="10"/>
      <c r="AF584" s="11"/>
      <c r="AG584"/>
    </row>
    <row r="585" spans="1:33" x14ac:dyDescent="0.2">
      <c r="A585" s="39" t="s">
        <v>274</v>
      </c>
      <c r="B585" s="5" t="s">
        <v>15</v>
      </c>
      <c r="C585" s="2"/>
      <c r="D585" s="3"/>
      <c r="E585" s="40" t="s">
        <v>361</v>
      </c>
      <c r="F585" s="2"/>
      <c r="G585" s="2">
        <v>0</v>
      </c>
      <c r="H585" s="40"/>
      <c r="I585" s="2"/>
      <c r="J585" s="2">
        <v>0</v>
      </c>
      <c r="K585" s="41" t="s">
        <v>109</v>
      </c>
      <c r="L585" s="2">
        <v>0.25</v>
      </c>
      <c r="M585" s="3">
        <v>90</v>
      </c>
      <c r="N585" s="2">
        <v>0</v>
      </c>
      <c r="O585" s="2">
        <v>0</v>
      </c>
      <c r="P585" s="6">
        <v>0.02</v>
      </c>
      <c r="Q585" s="6">
        <v>3.125E-2</v>
      </c>
      <c r="R585" s="2">
        <v>1.5625E-4</v>
      </c>
      <c r="T585" s="41">
        <v>9</v>
      </c>
      <c r="Y585" s="7"/>
      <c r="AA585" s="8"/>
      <c r="AB585" s="9"/>
      <c r="AE585" s="10"/>
      <c r="AF585" s="11"/>
      <c r="AG585"/>
    </row>
    <row r="586" spans="1:33" x14ac:dyDescent="0.2">
      <c r="A586" s="39" t="s">
        <v>69</v>
      </c>
      <c r="B586" s="5" t="s">
        <v>15</v>
      </c>
      <c r="C586" s="2"/>
      <c r="D586" s="3"/>
      <c r="E586" s="40" t="s">
        <v>355</v>
      </c>
      <c r="F586" s="2"/>
      <c r="G586" s="2">
        <v>0</v>
      </c>
      <c r="H586" s="40"/>
      <c r="I586" s="2"/>
      <c r="J586" s="2">
        <v>0</v>
      </c>
      <c r="K586" s="41" t="s">
        <v>31</v>
      </c>
      <c r="L586" s="2">
        <v>0.75</v>
      </c>
      <c r="M586" s="3">
        <v>30</v>
      </c>
      <c r="N586" s="2">
        <v>0</v>
      </c>
      <c r="O586" s="2">
        <v>0</v>
      </c>
      <c r="P586" s="6">
        <v>3.3333330000000001E-2</v>
      </c>
      <c r="Q586" s="6">
        <v>0.38884999999999997</v>
      </c>
      <c r="R586" s="2">
        <v>9.7212500000000007E-3</v>
      </c>
      <c r="T586" s="41">
        <v>9</v>
      </c>
      <c r="Y586" s="7"/>
      <c r="AA586" s="8"/>
      <c r="AB586" s="9"/>
      <c r="AE586" s="10"/>
      <c r="AF586" s="11"/>
      <c r="AG586"/>
    </row>
    <row r="587" spans="1:33" x14ac:dyDescent="0.2">
      <c r="A587" s="39" t="s">
        <v>69</v>
      </c>
      <c r="B587" s="5" t="s">
        <v>15</v>
      </c>
      <c r="C587" s="2"/>
      <c r="D587" s="3"/>
      <c r="E587" s="40" t="s">
        <v>361</v>
      </c>
      <c r="F587" s="2"/>
      <c r="G587" s="2">
        <v>0</v>
      </c>
      <c r="H587" s="40"/>
      <c r="I587" s="2"/>
      <c r="J587" s="2">
        <v>0</v>
      </c>
      <c r="K587" s="41" t="s">
        <v>31</v>
      </c>
      <c r="L587" s="2">
        <v>0.25</v>
      </c>
      <c r="M587" s="3">
        <v>90</v>
      </c>
      <c r="N587" s="2">
        <v>0</v>
      </c>
      <c r="O587" s="2">
        <v>0</v>
      </c>
      <c r="P587" s="6">
        <v>0.02</v>
      </c>
      <c r="Q587" s="6">
        <v>0.38884999999999997</v>
      </c>
      <c r="R587" s="2">
        <v>1.94425E-3</v>
      </c>
      <c r="T587" s="41">
        <v>9</v>
      </c>
      <c r="Y587" s="7"/>
      <c r="AA587" s="8"/>
      <c r="AB587" s="9"/>
      <c r="AE587" s="10"/>
      <c r="AF587" s="11"/>
      <c r="AG587"/>
    </row>
    <row r="588" spans="1:33" x14ac:dyDescent="0.2">
      <c r="A588" s="39" t="s">
        <v>279</v>
      </c>
      <c r="B588" s="5" t="s">
        <v>15</v>
      </c>
      <c r="C588" s="2"/>
      <c r="D588" s="3"/>
      <c r="E588" s="40" t="s">
        <v>355</v>
      </c>
      <c r="F588" s="2"/>
      <c r="G588" s="2">
        <v>0</v>
      </c>
      <c r="H588" s="40"/>
      <c r="I588" s="2"/>
      <c r="J588" s="2">
        <v>0</v>
      </c>
      <c r="K588" s="41" t="s">
        <v>30</v>
      </c>
      <c r="L588" s="2">
        <v>0.75</v>
      </c>
      <c r="M588" s="3"/>
      <c r="N588" s="2">
        <v>0</v>
      </c>
      <c r="O588" s="2">
        <v>0</v>
      </c>
      <c r="P588" s="6">
        <v>3.3333330000000001E-2</v>
      </c>
      <c r="Q588" s="6">
        <v>0.125</v>
      </c>
      <c r="R588" s="2">
        <v>3.1250000000000002E-3</v>
      </c>
      <c r="T588" s="41">
        <v>9</v>
      </c>
      <c r="Y588" s="7"/>
      <c r="AA588" s="8"/>
      <c r="AB588" s="9"/>
      <c r="AE588" s="10"/>
      <c r="AF588" s="11"/>
      <c r="AG588"/>
    </row>
    <row r="589" spans="1:33" x14ac:dyDescent="0.2">
      <c r="A589" s="39" t="s">
        <v>279</v>
      </c>
      <c r="B589" s="5" t="s">
        <v>15</v>
      </c>
      <c r="C589" s="2"/>
      <c r="D589" s="3"/>
      <c r="E589" s="40" t="s">
        <v>361</v>
      </c>
      <c r="F589" s="2"/>
      <c r="G589" s="2">
        <v>0</v>
      </c>
      <c r="H589" s="40"/>
      <c r="I589" s="2"/>
      <c r="J589" s="2">
        <v>0</v>
      </c>
      <c r="K589" s="41" t="s">
        <v>109</v>
      </c>
      <c r="L589" s="2">
        <v>0.25</v>
      </c>
      <c r="M589" s="3">
        <v>90</v>
      </c>
      <c r="N589" s="2">
        <v>0</v>
      </c>
      <c r="O589" s="2">
        <v>0</v>
      </c>
      <c r="P589" s="6">
        <v>0.02</v>
      </c>
      <c r="Q589" s="6">
        <v>0.125</v>
      </c>
      <c r="R589" s="2">
        <v>6.2500000000000001E-4</v>
      </c>
      <c r="T589" s="41">
        <v>9</v>
      </c>
      <c r="Y589" s="7"/>
      <c r="AA589" s="8"/>
      <c r="AB589" s="9"/>
      <c r="AE589" s="10"/>
      <c r="AF589" s="11"/>
      <c r="AG589"/>
    </row>
    <row r="590" spans="1:33" x14ac:dyDescent="0.2">
      <c r="A590" s="39" t="s">
        <v>280</v>
      </c>
      <c r="B590" s="5" t="s">
        <v>15</v>
      </c>
      <c r="C590" s="2"/>
      <c r="D590" s="3"/>
      <c r="E590" s="40" t="s">
        <v>356</v>
      </c>
      <c r="F590" s="2"/>
      <c r="G590" s="2">
        <v>0</v>
      </c>
      <c r="H590" s="40"/>
      <c r="I590" s="2"/>
      <c r="J590" s="2">
        <v>0</v>
      </c>
      <c r="K590" s="41" t="s">
        <v>147</v>
      </c>
      <c r="L590" s="2">
        <v>0.125</v>
      </c>
      <c r="M590" s="3">
        <v>30</v>
      </c>
      <c r="N590" s="2">
        <v>0</v>
      </c>
      <c r="O590" s="2">
        <v>0</v>
      </c>
      <c r="P590" s="6">
        <v>1.4999999999999999E-2</v>
      </c>
      <c r="Q590" s="6">
        <v>1</v>
      </c>
      <c r="R590" s="2">
        <v>1.8749999999999999E-3</v>
      </c>
      <c r="T590" s="41">
        <v>9</v>
      </c>
      <c r="Y590" s="7"/>
      <c r="AA590" s="8"/>
      <c r="AB590" s="9"/>
      <c r="AE590" s="10"/>
      <c r="AF590" s="11"/>
      <c r="AG590"/>
    </row>
    <row r="591" spans="1:33" x14ac:dyDescent="0.2">
      <c r="A591" s="39" t="s">
        <v>284</v>
      </c>
      <c r="B591" s="5" t="s">
        <v>15</v>
      </c>
      <c r="C591" s="2"/>
      <c r="D591" s="3"/>
      <c r="E591" s="40" t="s">
        <v>355</v>
      </c>
      <c r="F591" s="2"/>
      <c r="G591" s="2">
        <v>0</v>
      </c>
      <c r="H591" s="40"/>
      <c r="I591" s="2"/>
      <c r="J591" s="2">
        <v>0</v>
      </c>
      <c r="K591" s="41" t="s">
        <v>30</v>
      </c>
      <c r="L591" s="2">
        <v>0.75</v>
      </c>
      <c r="M591" s="3">
        <v>30</v>
      </c>
      <c r="N591" s="2">
        <v>0</v>
      </c>
      <c r="O591" s="2">
        <v>0</v>
      </c>
      <c r="P591" s="6">
        <v>3.3333330000000001E-2</v>
      </c>
      <c r="Q591" s="6">
        <v>3.125E-2</v>
      </c>
      <c r="R591" s="2">
        <v>7.8125000000000004E-4</v>
      </c>
      <c r="T591" s="41">
        <v>9</v>
      </c>
      <c r="Y591" s="7"/>
      <c r="AA591" s="8"/>
      <c r="AB591" s="9"/>
      <c r="AE591" s="10"/>
      <c r="AF591" s="11"/>
      <c r="AG591"/>
    </row>
    <row r="592" spans="1:33" x14ac:dyDescent="0.2">
      <c r="A592" s="39" t="s">
        <v>284</v>
      </c>
      <c r="B592" s="5" t="s">
        <v>15</v>
      </c>
      <c r="C592" s="2"/>
      <c r="D592" s="3"/>
      <c r="E592" s="40" t="s">
        <v>361</v>
      </c>
      <c r="F592" s="2"/>
      <c r="G592" s="2">
        <v>0</v>
      </c>
      <c r="H592" s="40"/>
      <c r="I592" s="2"/>
      <c r="J592" s="2">
        <v>0</v>
      </c>
      <c r="K592" s="41" t="s">
        <v>109</v>
      </c>
      <c r="L592" s="2">
        <v>0.25</v>
      </c>
      <c r="M592" s="3">
        <v>90</v>
      </c>
      <c r="N592" s="2">
        <v>0</v>
      </c>
      <c r="O592" s="2">
        <v>0</v>
      </c>
      <c r="P592" s="6">
        <v>0.02</v>
      </c>
      <c r="Q592" s="6">
        <v>3.125E-2</v>
      </c>
      <c r="R592" s="2">
        <v>1.5625E-4</v>
      </c>
      <c r="T592" s="41">
        <v>9</v>
      </c>
      <c r="Y592" s="7"/>
      <c r="AA592" s="8"/>
      <c r="AB592" s="9"/>
      <c r="AE592" s="10"/>
      <c r="AF592" s="11"/>
      <c r="AG592"/>
    </row>
    <row r="593" spans="1:33" x14ac:dyDescent="0.2">
      <c r="A593" s="39" t="s">
        <v>287</v>
      </c>
      <c r="B593" s="5" t="s">
        <v>15</v>
      </c>
      <c r="C593" s="2"/>
      <c r="D593" s="3"/>
      <c r="E593" s="40" t="s">
        <v>355</v>
      </c>
      <c r="F593" s="2"/>
      <c r="G593" s="2">
        <v>0</v>
      </c>
      <c r="H593" s="40"/>
      <c r="I593" s="2"/>
      <c r="J593" s="2">
        <v>0</v>
      </c>
      <c r="K593" s="41" t="s">
        <v>30</v>
      </c>
      <c r="L593" s="2">
        <v>0.75</v>
      </c>
      <c r="M593" s="3">
        <v>30</v>
      </c>
      <c r="N593" s="2">
        <v>0</v>
      </c>
      <c r="O593" s="2">
        <v>0</v>
      </c>
      <c r="P593" s="6">
        <v>3.3333330000000001E-2</v>
      </c>
      <c r="Q593" s="6">
        <v>6.25E-2</v>
      </c>
      <c r="R593" s="2">
        <v>1.5625000000000001E-3</v>
      </c>
      <c r="T593" s="41">
        <v>9</v>
      </c>
      <c r="Y593" s="7"/>
      <c r="AA593" s="8"/>
      <c r="AB593" s="9"/>
      <c r="AE593" s="10"/>
      <c r="AF593" s="11"/>
      <c r="AG593"/>
    </row>
    <row r="594" spans="1:33" x14ac:dyDescent="0.2">
      <c r="A594" s="39" t="s">
        <v>287</v>
      </c>
      <c r="B594" s="5" t="s">
        <v>15</v>
      </c>
      <c r="C594" s="2"/>
      <c r="D594" s="3"/>
      <c r="E594" s="40" t="s">
        <v>361</v>
      </c>
      <c r="F594" s="2"/>
      <c r="G594" s="2">
        <v>0</v>
      </c>
      <c r="H594" s="40"/>
      <c r="I594" s="2"/>
      <c r="J594" s="2">
        <v>0</v>
      </c>
      <c r="K594" s="41" t="s">
        <v>109</v>
      </c>
      <c r="L594" s="2">
        <v>0.25</v>
      </c>
      <c r="M594" s="3">
        <v>90</v>
      </c>
      <c r="N594" s="2">
        <v>0</v>
      </c>
      <c r="O594" s="2">
        <v>0</v>
      </c>
      <c r="P594" s="6">
        <v>0.02</v>
      </c>
      <c r="Q594" s="6">
        <v>6.25E-2</v>
      </c>
      <c r="R594" s="2">
        <v>3.1250000000000001E-4</v>
      </c>
      <c r="T594" s="41">
        <v>9</v>
      </c>
      <c r="Y594" s="7"/>
      <c r="AA594" s="8"/>
      <c r="AB594" s="9"/>
      <c r="AE594" s="10"/>
      <c r="AF594" s="11"/>
      <c r="AG594"/>
    </row>
    <row r="595" spans="1:33" x14ac:dyDescent="0.2">
      <c r="A595" s="39" t="s">
        <v>288</v>
      </c>
      <c r="B595" s="5" t="s">
        <v>15</v>
      </c>
      <c r="C595" s="2"/>
      <c r="D595" s="3"/>
      <c r="E595" s="40" t="s">
        <v>355</v>
      </c>
      <c r="F595" s="2"/>
      <c r="G595" s="2">
        <v>0</v>
      </c>
      <c r="H595" s="40"/>
      <c r="I595" s="2"/>
      <c r="J595" s="2">
        <v>0</v>
      </c>
      <c r="K595" s="41" t="s">
        <v>30</v>
      </c>
      <c r="L595" s="2">
        <v>0.75</v>
      </c>
      <c r="M595" s="3">
        <v>30</v>
      </c>
      <c r="N595" s="2">
        <v>0</v>
      </c>
      <c r="O595" s="2">
        <v>0</v>
      </c>
      <c r="P595" s="6">
        <v>3.3333330000000001E-2</v>
      </c>
      <c r="Q595" s="6">
        <v>0.125</v>
      </c>
      <c r="R595" s="2">
        <v>3.1250000000000002E-3</v>
      </c>
      <c r="T595" s="41">
        <v>9</v>
      </c>
      <c r="Y595" s="7"/>
      <c r="AA595" s="8"/>
      <c r="AB595" s="9"/>
      <c r="AE595" s="10"/>
      <c r="AF595" s="11"/>
      <c r="AG595"/>
    </row>
    <row r="596" spans="1:33" x14ac:dyDescent="0.2">
      <c r="A596" s="39" t="s">
        <v>288</v>
      </c>
      <c r="B596" s="5" t="s">
        <v>15</v>
      </c>
      <c r="C596" s="2"/>
      <c r="D596" s="3"/>
      <c r="E596" s="40" t="s">
        <v>361</v>
      </c>
      <c r="F596" s="2"/>
      <c r="G596" s="2">
        <v>0</v>
      </c>
      <c r="H596" s="40"/>
      <c r="I596" s="2"/>
      <c r="J596" s="2">
        <v>0</v>
      </c>
      <c r="K596" s="41" t="s">
        <v>109</v>
      </c>
      <c r="L596" s="2">
        <v>0.25</v>
      </c>
      <c r="M596" s="3">
        <v>90</v>
      </c>
      <c r="N596" s="2">
        <v>0</v>
      </c>
      <c r="O596" s="2">
        <v>0</v>
      </c>
      <c r="P596" s="6">
        <v>0.02</v>
      </c>
      <c r="Q596" s="6">
        <v>0.125</v>
      </c>
      <c r="R596" s="2">
        <v>6.2500000000000001E-4</v>
      </c>
      <c r="T596" s="41">
        <v>9</v>
      </c>
      <c r="Y596" s="7"/>
      <c r="AA596" s="8"/>
      <c r="AB596" s="9"/>
      <c r="AE596" s="10"/>
      <c r="AF596" s="11"/>
      <c r="AG596"/>
    </row>
    <row r="597" spans="1:33" ht="25.5" x14ac:dyDescent="0.2">
      <c r="A597" s="39" t="s">
        <v>289</v>
      </c>
      <c r="B597" s="5" t="s">
        <v>15</v>
      </c>
      <c r="C597" s="2"/>
      <c r="D597" s="3"/>
      <c r="E597" s="40" t="s">
        <v>355</v>
      </c>
      <c r="F597" s="2"/>
      <c r="G597" s="2">
        <v>0</v>
      </c>
      <c r="H597" s="40"/>
      <c r="I597" s="2"/>
      <c r="J597" s="2">
        <v>0</v>
      </c>
      <c r="K597" s="41" t="s">
        <v>141</v>
      </c>
      <c r="L597" s="2">
        <v>0.75</v>
      </c>
      <c r="M597" s="3">
        <v>15</v>
      </c>
      <c r="N597" s="2">
        <v>0</v>
      </c>
      <c r="O597" s="2">
        <v>0</v>
      </c>
      <c r="P597" s="6">
        <v>3.3333330000000001E-2</v>
      </c>
      <c r="Q597" s="6">
        <v>8.3349999999999994E-2</v>
      </c>
      <c r="R597" s="2">
        <v>2.0837500000000001E-3</v>
      </c>
      <c r="T597" s="41">
        <v>9</v>
      </c>
      <c r="Y597" s="7"/>
      <c r="AA597" s="8"/>
      <c r="AB597" s="9"/>
      <c r="AE597" s="10"/>
      <c r="AF597" s="11"/>
      <c r="AG597"/>
    </row>
    <row r="598" spans="1:33" ht="25.5" x14ac:dyDescent="0.2">
      <c r="A598" s="39" t="s">
        <v>289</v>
      </c>
      <c r="B598" s="5" t="s">
        <v>15</v>
      </c>
      <c r="C598" s="2"/>
      <c r="D598" s="3"/>
      <c r="E598" s="40" t="s">
        <v>361</v>
      </c>
      <c r="F598" s="2"/>
      <c r="G598" s="2">
        <v>0</v>
      </c>
      <c r="H598" s="40"/>
      <c r="I598" s="2"/>
      <c r="J598" s="2">
        <v>0</v>
      </c>
      <c r="K598" s="41" t="s">
        <v>141</v>
      </c>
      <c r="L598" s="2">
        <v>0.25</v>
      </c>
      <c r="M598" s="3">
        <v>90</v>
      </c>
      <c r="N598" s="2">
        <v>0</v>
      </c>
      <c r="O598" s="2">
        <v>0</v>
      </c>
      <c r="P598" s="6">
        <v>0.02</v>
      </c>
      <c r="Q598" s="6">
        <v>8.3349999999999994E-2</v>
      </c>
      <c r="R598" s="2">
        <v>4.1675000000000002E-4</v>
      </c>
      <c r="T598" s="41">
        <v>9</v>
      </c>
      <c r="Y598" s="7"/>
      <c r="AA598" s="8"/>
      <c r="AB598" s="9"/>
      <c r="AE598" s="10"/>
      <c r="AF598" s="11"/>
      <c r="AG598"/>
    </row>
    <row r="599" spans="1:33" x14ac:dyDescent="0.2">
      <c r="A599" s="39" t="s">
        <v>291</v>
      </c>
      <c r="B599" s="5" t="s">
        <v>15</v>
      </c>
      <c r="C599" s="2"/>
      <c r="D599" s="3"/>
      <c r="E599" s="40" t="s">
        <v>355</v>
      </c>
      <c r="F599" s="2"/>
      <c r="G599" s="2">
        <v>0</v>
      </c>
      <c r="H599" s="40"/>
      <c r="I599" s="2"/>
      <c r="J599" s="2">
        <v>0</v>
      </c>
      <c r="K599" s="41" t="s">
        <v>151</v>
      </c>
      <c r="L599" s="2">
        <v>0.75</v>
      </c>
      <c r="M599" s="3">
        <v>30</v>
      </c>
      <c r="N599" s="2">
        <v>0</v>
      </c>
      <c r="O599" s="2">
        <v>0</v>
      </c>
      <c r="P599" s="6">
        <v>3.3333330000000001E-2</v>
      </c>
      <c r="Q599" s="6">
        <v>6.25E-2</v>
      </c>
      <c r="R599" s="2">
        <v>1.5625000000000001E-3</v>
      </c>
      <c r="T599" s="41">
        <v>9</v>
      </c>
      <c r="Y599" s="7"/>
      <c r="AA599" s="8"/>
      <c r="AB599" s="9"/>
      <c r="AE599" s="10"/>
      <c r="AF599" s="11"/>
      <c r="AG599"/>
    </row>
    <row r="600" spans="1:33" x14ac:dyDescent="0.2">
      <c r="A600" s="39" t="s">
        <v>291</v>
      </c>
      <c r="B600" s="5" t="s">
        <v>15</v>
      </c>
      <c r="C600" s="2"/>
      <c r="D600" s="3"/>
      <c r="E600" s="40" t="s">
        <v>361</v>
      </c>
      <c r="F600" s="2"/>
      <c r="G600" s="2">
        <v>0</v>
      </c>
      <c r="H600" s="40"/>
      <c r="I600" s="2"/>
      <c r="J600" s="2">
        <v>0</v>
      </c>
      <c r="K600" s="41" t="s">
        <v>151</v>
      </c>
      <c r="L600" s="2">
        <v>0.25</v>
      </c>
      <c r="M600" s="3">
        <v>90</v>
      </c>
      <c r="N600" s="2">
        <v>0</v>
      </c>
      <c r="O600" s="2">
        <v>0</v>
      </c>
      <c r="P600" s="6">
        <v>0.02</v>
      </c>
      <c r="Q600" s="6">
        <v>6.25E-2</v>
      </c>
      <c r="R600" s="2">
        <v>3.1250000000000001E-4</v>
      </c>
      <c r="T600" s="41">
        <v>9</v>
      </c>
      <c r="Y600" s="7"/>
      <c r="AA600" s="8"/>
      <c r="AB600" s="9"/>
      <c r="AE600" s="10"/>
      <c r="AF600" s="11"/>
      <c r="AG600"/>
    </row>
    <row r="601" spans="1:33" x14ac:dyDescent="0.2">
      <c r="A601" s="39" t="s">
        <v>337</v>
      </c>
      <c r="B601" s="5" t="s">
        <v>52</v>
      </c>
      <c r="C601" s="2">
        <v>9.375E-2</v>
      </c>
      <c r="D601" s="3">
        <v>11.25</v>
      </c>
      <c r="E601" s="40" t="s">
        <v>355</v>
      </c>
      <c r="F601" s="2"/>
      <c r="G601" s="2">
        <v>0</v>
      </c>
      <c r="H601" s="40"/>
      <c r="I601" s="2">
        <v>0.83333333330000003</v>
      </c>
      <c r="J601" s="2">
        <v>3.3333330000000001E-2</v>
      </c>
      <c r="K601" s="41" t="s">
        <v>30</v>
      </c>
      <c r="M601" s="3"/>
      <c r="N601" s="2">
        <v>0</v>
      </c>
      <c r="O601" s="2">
        <v>0</v>
      </c>
      <c r="P601" s="6">
        <v>0</v>
      </c>
      <c r="Q601" s="6">
        <v>0</v>
      </c>
      <c r="R601" s="2">
        <v>7.4999999999999997E-2</v>
      </c>
      <c r="T601" s="41">
        <v>9</v>
      </c>
      <c r="Y601" s="7"/>
      <c r="AA601" s="8"/>
      <c r="AB601" s="9"/>
      <c r="AE601" s="10"/>
      <c r="AF601" s="11"/>
      <c r="AG601"/>
    </row>
    <row r="602" spans="1:33" x14ac:dyDescent="0.2">
      <c r="A602" s="39" t="s">
        <v>337</v>
      </c>
      <c r="B602" s="5" t="s">
        <v>52</v>
      </c>
      <c r="C602" s="2">
        <v>1.5625E-2</v>
      </c>
      <c r="D602" s="3">
        <v>1.875</v>
      </c>
      <c r="E602" s="40" t="s">
        <v>129</v>
      </c>
      <c r="F602" s="2"/>
      <c r="G602" s="2">
        <v>0</v>
      </c>
      <c r="H602" s="40"/>
      <c r="I602" s="2">
        <v>0.8</v>
      </c>
      <c r="J602" s="2">
        <v>0.02</v>
      </c>
      <c r="K602" s="41" t="s">
        <v>109</v>
      </c>
      <c r="M602" s="3"/>
      <c r="N602" s="2">
        <v>0</v>
      </c>
      <c r="O602" s="2">
        <v>0</v>
      </c>
      <c r="P602" s="6">
        <v>0</v>
      </c>
      <c r="Q602" s="6">
        <v>0</v>
      </c>
      <c r="R602" s="2">
        <v>1.21875E-2</v>
      </c>
      <c r="T602" s="41">
        <v>9</v>
      </c>
      <c r="Y602" s="7"/>
      <c r="AA602" s="8"/>
      <c r="AB602" s="9"/>
      <c r="AE602" s="10"/>
      <c r="AF602" s="11"/>
      <c r="AG602"/>
    </row>
    <row r="603" spans="1:33" x14ac:dyDescent="0.2">
      <c r="A603" s="39" t="s">
        <v>337</v>
      </c>
      <c r="B603" s="5" t="s">
        <v>52</v>
      </c>
      <c r="C603" s="2">
        <v>1.5625E-2</v>
      </c>
      <c r="D603" s="3">
        <v>1.875</v>
      </c>
      <c r="E603" s="40" t="s">
        <v>67</v>
      </c>
      <c r="F603" s="2"/>
      <c r="G603" s="2">
        <v>0</v>
      </c>
      <c r="H603" s="40"/>
      <c r="I603" s="2">
        <v>0.8125</v>
      </c>
      <c r="J603" s="2">
        <v>0.02</v>
      </c>
      <c r="K603" s="41" t="s">
        <v>141</v>
      </c>
      <c r="M603" s="3"/>
      <c r="N603" s="2">
        <v>0</v>
      </c>
      <c r="O603" s="2">
        <v>0</v>
      </c>
      <c r="P603" s="6">
        <v>0</v>
      </c>
      <c r="Q603" s="6">
        <v>0</v>
      </c>
      <c r="R603" s="2">
        <v>1.2382799999999999E-2</v>
      </c>
      <c r="T603" s="41">
        <v>9</v>
      </c>
      <c r="Y603" s="7"/>
      <c r="AA603" s="8"/>
      <c r="AB603" s="9"/>
      <c r="AE603" s="10"/>
      <c r="AF603" s="11"/>
      <c r="AG603"/>
    </row>
    <row r="604" spans="1:33" x14ac:dyDescent="0.2">
      <c r="A604" s="39" t="s">
        <v>82</v>
      </c>
      <c r="B604" s="5" t="s">
        <v>52</v>
      </c>
      <c r="C604" s="2">
        <v>0.5625</v>
      </c>
      <c r="D604" s="3">
        <v>67.5</v>
      </c>
      <c r="E604" s="40" t="s">
        <v>355</v>
      </c>
      <c r="F604" s="2"/>
      <c r="G604" s="2">
        <v>0</v>
      </c>
      <c r="H604" s="40"/>
      <c r="I604" s="2">
        <v>0.83333333330000003</v>
      </c>
      <c r="J604" s="2">
        <v>3.3333330000000001E-2</v>
      </c>
      <c r="K604" s="41" t="s">
        <v>359</v>
      </c>
      <c r="M604" s="3"/>
      <c r="N604" s="2">
        <v>0</v>
      </c>
      <c r="O604" s="2">
        <v>0</v>
      </c>
      <c r="P604" s="6">
        <v>0</v>
      </c>
      <c r="Q604" s="6">
        <v>0</v>
      </c>
      <c r="R604" s="2">
        <v>0.45</v>
      </c>
      <c r="T604" s="41">
        <v>9</v>
      </c>
      <c r="Y604" s="7"/>
      <c r="AA604" s="8"/>
      <c r="AB604" s="9"/>
      <c r="AE604" s="10"/>
      <c r="AF604" s="11"/>
      <c r="AG604"/>
    </row>
    <row r="605" spans="1:33" x14ac:dyDescent="0.2">
      <c r="A605" s="39" t="s">
        <v>82</v>
      </c>
      <c r="B605" s="5" t="s">
        <v>52</v>
      </c>
      <c r="C605" s="2">
        <v>9.375E-2</v>
      </c>
      <c r="D605" s="3">
        <v>11.25</v>
      </c>
      <c r="E605" s="40" t="s">
        <v>355</v>
      </c>
      <c r="F605" s="2"/>
      <c r="G605" s="2">
        <v>0</v>
      </c>
      <c r="H605" s="40"/>
      <c r="I605" s="2">
        <v>0.83333333330000003</v>
      </c>
      <c r="J605" s="2">
        <v>4.8333330000000001E-2</v>
      </c>
      <c r="K605" s="41" t="s">
        <v>360</v>
      </c>
      <c r="M605" s="3"/>
      <c r="N605" s="2">
        <v>0</v>
      </c>
      <c r="O605" s="2">
        <v>0</v>
      </c>
      <c r="P605" s="6">
        <v>0</v>
      </c>
      <c r="Q605" s="6">
        <v>0</v>
      </c>
      <c r="R605" s="2">
        <v>7.3593749999999999E-2</v>
      </c>
      <c r="T605" s="41">
        <v>9</v>
      </c>
      <c r="Y605" s="7"/>
      <c r="AA605" s="8"/>
      <c r="AB605" s="9"/>
      <c r="AE605" s="10"/>
      <c r="AF605" s="11"/>
      <c r="AG605"/>
    </row>
    <row r="606" spans="1:33" x14ac:dyDescent="0.2">
      <c r="A606" s="39" t="s">
        <v>82</v>
      </c>
      <c r="B606" s="5" t="s">
        <v>52</v>
      </c>
      <c r="C606" s="2">
        <v>1.5625E-2</v>
      </c>
      <c r="D606" s="3">
        <v>1.875</v>
      </c>
      <c r="E606" s="40" t="s">
        <v>129</v>
      </c>
      <c r="F606" s="2"/>
      <c r="G606" s="2">
        <v>0</v>
      </c>
      <c r="H606" s="40"/>
      <c r="I606" s="2">
        <v>0.8</v>
      </c>
      <c r="J606" s="2">
        <v>3.5000000000000003E-2</v>
      </c>
      <c r="K606" s="41" t="s">
        <v>358</v>
      </c>
      <c r="M606" s="3"/>
      <c r="N606" s="2">
        <v>0</v>
      </c>
      <c r="O606" s="2">
        <v>0</v>
      </c>
      <c r="P606" s="6">
        <v>0</v>
      </c>
      <c r="Q606" s="6">
        <v>0</v>
      </c>
      <c r="R606" s="2">
        <v>1.1953129999999999E-2</v>
      </c>
      <c r="T606" s="41">
        <v>9</v>
      </c>
      <c r="Y606" s="7"/>
      <c r="AA606" s="8"/>
      <c r="AB606" s="9"/>
      <c r="AE606" s="10"/>
      <c r="AF606" s="11"/>
      <c r="AG606"/>
    </row>
    <row r="607" spans="1:33" x14ac:dyDescent="0.2">
      <c r="A607" s="39" t="s">
        <v>82</v>
      </c>
      <c r="B607" s="5" t="s">
        <v>52</v>
      </c>
      <c r="C607" s="2">
        <v>9.375E-2</v>
      </c>
      <c r="D607" s="3">
        <v>11.25</v>
      </c>
      <c r="E607" s="40" t="s">
        <v>129</v>
      </c>
      <c r="F607" s="2"/>
      <c r="G607" s="2">
        <v>0</v>
      </c>
      <c r="H607" s="40"/>
      <c r="I607" s="2">
        <v>0.8</v>
      </c>
      <c r="J607" s="2">
        <v>0.02</v>
      </c>
      <c r="K607" s="41" t="s">
        <v>109</v>
      </c>
      <c r="M607" s="3"/>
      <c r="N607" s="2">
        <v>0</v>
      </c>
      <c r="O607" s="2">
        <v>0</v>
      </c>
      <c r="P607" s="6">
        <v>0</v>
      </c>
      <c r="Q607" s="6">
        <v>0</v>
      </c>
      <c r="R607" s="2">
        <v>7.3124999999999996E-2</v>
      </c>
      <c r="T607" s="41">
        <v>9</v>
      </c>
      <c r="Y607" s="7"/>
      <c r="AA607" s="8"/>
      <c r="AB607" s="9"/>
      <c r="AE607" s="10"/>
      <c r="AF607" s="11"/>
      <c r="AG607"/>
    </row>
    <row r="608" spans="1:33" x14ac:dyDescent="0.2">
      <c r="A608" s="39" t="s">
        <v>82</v>
      </c>
      <c r="B608" s="5" t="s">
        <v>52</v>
      </c>
      <c r="C608" s="2">
        <v>1.5625E-2</v>
      </c>
      <c r="D608" s="3">
        <v>1.875</v>
      </c>
      <c r="E608" s="40" t="s">
        <v>67</v>
      </c>
      <c r="F608" s="2"/>
      <c r="G608" s="2">
        <v>0</v>
      </c>
      <c r="H608" s="40"/>
      <c r="I608" s="2">
        <v>0.8125</v>
      </c>
      <c r="J608" s="2">
        <v>3.5000000000000003E-2</v>
      </c>
      <c r="K608" s="41" t="s">
        <v>357</v>
      </c>
      <c r="M608" s="3"/>
      <c r="N608" s="2">
        <v>0</v>
      </c>
      <c r="O608" s="2">
        <v>0</v>
      </c>
      <c r="P608" s="6">
        <v>0</v>
      </c>
      <c r="Q608" s="6">
        <v>0</v>
      </c>
      <c r="R608" s="2">
        <v>1.214844E-2</v>
      </c>
      <c r="T608" s="41">
        <v>9</v>
      </c>
      <c r="Y608" s="7"/>
      <c r="AA608" s="8"/>
      <c r="AB608" s="9"/>
      <c r="AE608" s="10"/>
      <c r="AF608" s="11"/>
      <c r="AG608"/>
    </row>
    <row r="609" spans="1:33" x14ac:dyDescent="0.2">
      <c r="A609" s="39" t="s">
        <v>82</v>
      </c>
      <c r="B609" s="5" t="s">
        <v>52</v>
      </c>
      <c r="C609" s="2">
        <v>9.375E-2</v>
      </c>
      <c r="D609" s="3">
        <v>11.25</v>
      </c>
      <c r="E609" s="40" t="s">
        <v>67</v>
      </c>
      <c r="F609" s="2"/>
      <c r="G609" s="2">
        <v>0</v>
      </c>
      <c r="H609" s="40"/>
      <c r="I609" s="2">
        <v>0.8125</v>
      </c>
      <c r="J609" s="2">
        <v>0.02</v>
      </c>
      <c r="K609" s="41" t="s">
        <v>141</v>
      </c>
      <c r="M609" s="3"/>
      <c r="N609" s="2">
        <v>0</v>
      </c>
      <c r="O609" s="2">
        <v>0</v>
      </c>
      <c r="P609" s="6">
        <v>0</v>
      </c>
      <c r="Q609" s="6">
        <v>0</v>
      </c>
      <c r="R609" s="2">
        <v>7.4296879999999996E-2</v>
      </c>
      <c r="T609" s="41">
        <v>9</v>
      </c>
      <c r="Y609" s="7"/>
      <c r="AA609" s="8"/>
      <c r="AB609" s="9"/>
      <c r="AE609" s="10"/>
      <c r="AF609" s="11"/>
      <c r="AG609"/>
    </row>
    <row r="610" spans="1:33" x14ac:dyDescent="0.2">
      <c r="A610" s="39" t="s">
        <v>311</v>
      </c>
      <c r="B610" s="5" t="s">
        <v>21</v>
      </c>
      <c r="C610" s="2">
        <v>8.3333329999999997E-2</v>
      </c>
      <c r="D610" s="3">
        <v>3.3333330000000001</v>
      </c>
      <c r="E610" s="40" t="s">
        <v>168</v>
      </c>
      <c r="F610" s="2">
        <v>0.1875</v>
      </c>
      <c r="G610" s="2">
        <v>0</v>
      </c>
      <c r="H610" s="40"/>
      <c r="I610" s="2"/>
      <c r="J610" s="2">
        <v>0</v>
      </c>
      <c r="K610" s="41"/>
      <c r="M610" s="3"/>
      <c r="N610" s="2">
        <v>0</v>
      </c>
      <c r="O610" s="2">
        <v>0</v>
      </c>
      <c r="P610" s="6">
        <v>0</v>
      </c>
      <c r="Q610" s="6">
        <v>0</v>
      </c>
      <c r="R610" s="2">
        <v>1.5625E-2</v>
      </c>
      <c r="T610" s="41">
        <v>10</v>
      </c>
      <c r="Y610" s="7"/>
      <c r="AA610" s="8"/>
      <c r="AB610" s="9"/>
      <c r="AE610" s="10"/>
      <c r="AF610" s="11"/>
      <c r="AG610"/>
    </row>
    <row r="611" spans="1:33" x14ac:dyDescent="0.2">
      <c r="A611" s="39" t="s">
        <v>313</v>
      </c>
      <c r="B611" s="5" t="s">
        <v>21</v>
      </c>
      <c r="C611" s="2">
        <v>7.4999999999999997E-2</v>
      </c>
      <c r="D611" s="3">
        <v>3</v>
      </c>
      <c r="E611" s="40" t="s">
        <v>28</v>
      </c>
      <c r="F611" s="2">
        <v>0.1875</v>
      </c>
      <c r="G611" s="2">
        <v>0</v>
      </c>
      <c r="H611" s="40"/>
      <c r="I611" s="2"/>
      <c r="J611" s="2">
        <v>0</v>
      </c>
      <c r="K611" s="41"/>
      <c r="M611" s="3"/>
      <c r="N611" s="2">
        <v>0</v>
      </c>
      <c r="O611" s="2">
        <v>0</v>
      </c>
      <c r="P611" s="6">
        <v>0</v>
      </c>
      <c r="Q611" s="6">
        <v>0</v>
      </c>
      <c r="R611" s="2">
        <v>1.40625E-2</v>
      </c>
      <c r="T611" s="41">
        <v>10</v>
      </c>
      <c r="Y611" s="7"/>
      <c r="AA611" s="8"/>
      <c r="AB611" s="9"/>
      <c r="AE611" s="10"/>
      <c r="AF611" s="11"/>
      <c r="AG611"/>
    </row>
    <row r="612" spans="1:33" x14ac:dyDescent="0.2">
      <c r="A612" s="39" t="s">
        <v>314</v>
      </c>
      <c r="B612" s="5" t="s">
        <v>21</v>
      </c>
      <c r="C612" s="2">
        <v>4.1666670000000003E-2</v>
      </c>
      <c r="D612" s="3">
        <v>1.6666669999999999</v>
      </c>
      <c r="E612" s="40" t="s">
        <v>192</v>
      </c>
      <c r="F612" s="2">
        <v>0.1875</v>
      </c>
      <c r="G612" s="2">
        <v>0</v>
      </c>
      <c r="H612" s="40"/>
      <c r="I612" s="2"/>
      <c r="J612" s="2">
        <v>0</v>
      </c>
      <c r="K612" s="41"/>
      <c r="M612" s="3"/>
      <c r="N612" s="2">
        <v>0</v>
      </c>
      <c r="O612" s="2">
        <v>0</v>
      </c>
      <c r="P612" s="6">
        <v>0</v>
      </c>
      <c r="Q612" s="6">
        <v>0</v>
      </c>
      <c r="R612" s="2">
        <v>7.8125E-3</v>
      </c>
      <c r="T612" s="41">
        <v>10</v>
      </c>
      <c r="Y612" s="7"/>
      <c r="AA612" s="8"/>
      <c r="AB612" s="9"/>
      <c r="AE612" s="10"/>
      <c r="AF612" s="11"/>
      <c r="AG612"/>
    </row>
    <row r="613" spans="1:33" x14ac:dyDescent="0.2">
      <c r="A613" s="39" t="s">
        <v>315</v>
      </c>
      <c r="B613" s="5" t="s">
        <v>21</v>
      </c>
      <c r="C613" s="2">
        <v>0.125</v>
      </c>
      <c r="D613" s="3">
        <v>5</v>
      </c>
      <c r="E613" s="40" t="s">
        <v>100</v>
      </c>
      <c r="F613" s="2">
        <v>0.1875</v>
      </c>
      <c r="G613" s="2">
        <v>0</v>
      </c>
      <c r="H613" s="40"/>
      <c r="I613" s="2"/>
      <c r="J613" s="2">
        <v>0</v>
      </c>
      <c r="K613" s="41"/>
      <c r="M613" s="3"/>
      <c r="N613" s="2">
        <v>0</v>
      </c>
      <c r="O613" s="2">
        <v>0</v>
      </c>
      <c r="P613" s="6">
        <v>0</v>
      </c>
      <c r="Q613" s="6">
        <v>0</v>
      </c>
      <c r="R613" s="2">
        <v>2.34375E-2</v>
      </c>
      <c r="T613" s="41">
        <v>10</v>
      </c>
      <c r="Y613" s="7"/>
      <c r="AA613" s="8"/>
      <c r="AB613" s="9"/>
      <c r="AE613" s="10"/>
      <c r="AF613" s="11"/>
      <c r="AG613"/>
    </row>
    <row r="614" spans="1:33" x14ac:dyDescent="0.2">
      <c r="A614" s="39" t="s">
        <v>362</v>
      </c>
      <c r="B614" s="5" t="s">
        <v>21</v>
      </c>
      <c r="C614" s="2">
        <v>8.3333329999999997E-2</v>
      </c>
      <c r="D614" s="3">
        <v>3.3333330000000001</v>
      </c>
      <c r="E614" s="40" t="s">
        <v>151</v>
      </c>
      <c r="F614" s="2">
        <v>0.15</v>
      </c>
      <c r="G614" s="2">
        <v>0</v>
      </c>
      <c r="H614" s="40"/>
      <c r="I614" s="2"/>
      <c r="J614" s="2">
        <v>0</v>
      </c>
      <c r="K614" s="41"/>
      <c r="M614" s="3"/>
      <c r="N614" s="2">
        <v>0</v>
      </c>
      <c r="O614" s="2">
        <v>0</v>
      </c>
      <c r="P614" s="6">
        <v>0</v>
      </c>
      <c r="Q614" s="6">
        <v>0</v>
      </c>
      <c r="R614" s="2">
        <v>1.2500000000000001E-2</v>
      </c>
      <c r="T614" s="41">
        <v>10</v>
      </c>
      <c r="Y614" s="7"/>
      <c r="AA614" s="8"/>
      <c r="AB614" s="9"/>
      <c r="AE614" s="10"/>
      <c r="AF614" s="11"/>
      <c r="AG614"/>
    </row>
    <row r="615" spans="1:33" x14ac:dyDescent="0.2">
      <c r="A615" s="39" t="s">
        <v>316</v>
      </c>
      <c r="B615" s="5" t="s">
        <v>21</v>
      </c>
      <c r="C615" s="2">
        <v>4.1666660000000001E-2</v>
      </c>
      <c r="D615" s="3">
        <v>1.666666</v>
      </c>
      <c r="E615" s="40" t="s">
        <v>192</v>
      </c>
      <c r="F615" s="2">
        <v>0.1875</v>
      </c>
      <c r="G615" s="2">
        <v>0</v>
      </c>
      <c r="H615" s="40"/>
      <c r="I615" s="2"/>
      <c r="J615" s="2">
        <v>0</v>
      </c>
      <c r="K615" s="41"/>
      <c r="M615" s="3"/>
      <c r="N615" s="2">
        <v>0</v>
      </c>
      <c r="O615" s="2">
        <v>0</v>
      </c>
      <c r="P615" s="6">
        <v>0</v>
      </c>
      <c r="Q615" s="6">
        <v>0</v>
      </c>
      <c r="R615" s="2">
        <v>7.8125E-3</v>
      </c>
      <c r="T615" s="41">
        <v>10</v>
      </c>
      <c r="Y615" s="7"/>
      <c r="AA615" s="8"/>
      <c r="AB615" s="9"/>
      <c r="AE615" s="10"/>
      <c r="AF615" s="11"/>
      <c r="AG615"/>
    </row>
    <row r="616" spans="1:33" x14ac:dyDescent="0.2">
      <c r="A616" s="39" t="s">
        <v>245</v>
      </c>
      <c r="B616" s="5" t="s">
        <v>21</v>
      </c>
      <c r="C616" s="2">
        <v>0.125</v>
      </c>
      <c r="D616" s="3">
        <v>5</v>
      </c>
      <c r="E616" s="40" t="s">
        <v>158</v>
      </c>
      <c r="F616" s="2">
        <v>0.1875</v>
      </c>
      <c r="G616" s="2">
        <v>0</v>
      </c>
      <c r="H616" s="40"/>
      <c r="I616" s="2"/>
      <c r="J616" s="2">
        <v>0</v>
      </c>
      <c r="K616" s="41"/>
      <c r="M616" s="3"/>
      <c r="N616" s="2">
        <v>0</v>
      </c>
      <c r="O616" s="2">
        <v>0</v>
      </c>
      <c r="P616" s="6">
        <v>0</v>
      </c>
      <c r="Q616" s="6">
        <v>0</v>
      </c>
      <c r="R616" s="2">
        <v>2.34375E-2</v>
      </c>
      <c r="T616" s="41">
        <v>10</v>
      </c>
      <c r="Y616" s="7"/>
      <c r="AA616" s="8"/>
      <c r="AB616" s="9"/>
      <c r="AE616" s="10"/>
      <c r="AF616" s="11"/>
      <c r="AG616"/>
    </row>
    <row r="617" spans="1:33" x14ac:dyDescent="0.2">
      <c r="A617" s="39" t="s">
        <v>247</v>
      </c>
      <c r="B617" s="5" t="s">
        <v>21</v>
      </c>
      <c r="C617" s="2">
        <v>4.1666670000000003E-2</v>
      </c>
      <c r="D617" s="3">
        <v>1.6666669999999999</v>
      </c>
      <c r="E617" s="40" t="s">
        <v>317</v>
      </c>
      <c r="F617" s="2">
        <v>0.15</v>
      </c>
      <c r="G617" s="2">
        <v>0</v>
      </c>
      <c r="H617" s="40"/>
      <c r="I617" s="2"/>
      <c r="J617" s="2">
        <v>0</v>
      </c>
      <c r="K617" s="41"/>
      <c r="M617" s="3"/>
      <c r="N617" s="2">
        <v>0</v>
      </c>
      <c r="O617" s="2">
        <v>0</v>
      </c>
      <c r="P617" s="6">
        <v>0</v>
      </c>
      <c r="Q617" s="6">
        <v>0</v>
      </c>
      <c r="R617" s="2">
        <v>6.2500000000000003E-3</v>
      </c>
      <c r="T617" s="41">
        <v>10</v>
      </c>
      <c r="Y617" s="7"/>
      <c r="AA617" s="8"/>
      <c r="AB617" s="9"/>
      <c r="AE617" s="10"/>
      <c r="AF617" s="11"/>
      <c r="AG617"/>
    </row>
    <row r="618" spans="1:33" x14ac:dyDescent="0.2">
      <c r="A618" s="39" t="s">
        <v>206</v>
      </c>
      <c r="B618" s="5" t="s">
        <v>21</v>
      </c>
      <c r="C618" s="2">
        <v>4.1666670000000003E-2</v>
      </c>
      <c r="D618" s="3">
        <v>1.6666669999999999</v>
      </c>
      <c r="E618" s="40" t="s">
        <v>317</v>
      </c>
      <c r="F618" s="2">
        <v>0.15</v>
      </c>
      <c r="G618" s="2">
        <v>0</v>
      </c>
      <c r="H618" s="40"/>
      <c r="I618" s="2"/>
      <c r="J618" s="2">
        <v>0</v>
      </c>
      <c r="K618" s="41"/>
      <c r="M618" s="3"/>
      <c r="N618" s="2">
        <v>0</v>
      </c>
      <c r="O618" s="2">
        <v>0</v>
      </c>
      <c r="P618" s="6">
        <v>0</v>
      </c>
      <c r="Q618" s="6">
        <v>0</v>
      </c>
      <c r="R618" s="2">
        <v>6.2500000000000003E-3</v>
      </c>
      <c r="T618" s="41">
        <v>10</v>
      </c>
      <c r="Y618" s="7"/>
      <c r="AA618" s="8"/>
      <c r="AB618" s="9"/>
      <c r="AE618" s="10"/>
      <c r="AF618" s="11"/>
      <c r="AG618"/>
    </row>
    <row r="619" spans="1:33" x14ac:dyDescent="0.2">
      <c r="A619" s="39" t="s">
        <v>363</v>
      </c>
      <c r="B619" s="5" t="s">
        <v>21</v>
      </c>
      <c r="C619" s="2">
        <v>4.1666670000000003E-2</v>
      </c>
      <c r="D619" s="3">
        <v>1.6666669999999999</v>
      </c>
      <c r="E619" s="40" t="s">
        <v>317</v>
      </c>
      <c r="F619" s="2">
        <v>0.15</v>
      </c>
      <c r="G619" s="2">
        <v>0</v>
      </c>
      <c r="H619" s="40"/>
      <c r="I619" s="2"/>
      <c r="J619" s="2">
        <v>0</v>
      </c>
      <c r="K619" s="41"/>
      <c r="M619" s="3"/>
      <c r="N619" s="2">
        <v>0</v>
      </c>
      <c r="O619" s="2">
        <v>0</v>
      </c>
      <c r="P619" s="6">
        <v>0</v>
      </c>
      <c r="Q619" s="6">
        <v>0</v>
      </c>
      <c r="R619" s="2">
        <v>6.2500000000000003E-3</v>
      </c>
      <c r="T619" s="41">
        <v>10</v>
      </c>
      <c r="Y619" s="7"/>
      <c r="AA619" s="8"/>
      <c r="AB619" s="9"/>
      <c r="AE619" s="10"/>
      <c r="AF619" s="11"/>
      <c r="AG619"/>
    </row>
    <row r="620" spans="1:33" x14ac:dyDescent="0.2">
      <c r="A620" s="39" t="s">
        <v>319</v>
      </c>
      <c r="B620" s="5" t="s">
        <v>21</v>
      </c>
      <c r="C620" s="2">
        <v>4.1666670000000003E-2</v>
      </c>
      <c r="D620" s="3">
        <v>1.6666669999999999</v>
      </c>
      <c r="E620" s="40" t="s">
        <v>192</v>
      </c>
      <c r="F620" s="2">
        <v>0.1875</v>
      </c>
      <c r="G620" s="2">
        <v>0</v>
      </c>
      <c r="H620" s="40"/>
      <c r="I620" s="2"/>
      <c r="J620" s="2">
        <v>0</v>
      </c>
      <c r="K620" s="41"/>
      <c r="M620" s="3"/>
      <c r="N620" s="2">
        <v>0</v>
      </c>
      <c r="O620" s="2">
        <v>0</v>
      </c>
      <c r="P620" s="6">
        <v>0</v>
      </c>
      <c r="Q620" s="6">
        <v>0</v>
      </c>
      <c r="R620" s="2">
        <v>7.8125E-3</v>
      </c>
      <c r="T620" s="41">
        <v>10</v>
      </c>
      <c r="Y620" s="7"/>
      <c r="AA620" s="8"/>
      <c r="AB620" s="9"/>
      <c r="AE620" s="10"/>
      <c r="AF620" s="11"/>
      <c r="AG620"/>
    </row>
    <row r="621" spans="1:33" x14ac:dyDescent="0.2">
      <c r="A621" s="39" t="s">
        <v>320</v>
      </c>
      <c r="B621" s="5" t="s">
        <v>21</v>
      </c>
      <c r="C621" s="2">
        <v>8.3333299999999999E-3</v>
      </c>
      <c r="D621" s="3">
        <v>0.33333299999999999</v>
      </c>
      <c r="E621" s="40" t="s">
        <v>28</v>
      </c>
      <c r="F621" s="2">
        <v>0.1875</v>
      </c>
      <c r="G621" s="2">
        <v>0</v>
      </c>
      <c r="H621" s="40"/>
      <c r="I621" s="2"/>
      <c r="J621" s="2">
        <v>0</v>
      </c>
      <c r="K621" s="41"/>
      <c r="M621" s="3"/>
      <c r="N621" s="2">
        <v>0</v>
      </c>
      <c r="O621" s="2">
        <v>0</v>
      </c>
      <c r="P621" s="6">
        <v>0</v>
      </c>
      <c r="Q621" s="6">
        <v>0</v>
      </c>
      <c r="R621" s="2">
        <v>1.5625000000000001E-3</v>
      </c>
      <c r="T621" s="41">
        <v>10</v>
      </c>
      <c r="Y621" s="7"/>
      <c r="AA621" s="8"/>
      <c r="AB621" s="9"/>
      <c r="AE621" s="10"/>
      <c r="AF621" s="11"/>
      <c r="AG621"/>
    </row>
    <row r="622" spans="1:33" ht="25.5" x14ac:dyDescent="0.2">
      <c r="A622" s="39" t="s">
        <v>364</v>
      </c>
      <c r="B622" s="5" t="s">
        <v>21</v>
      </c>
      <c r="C622" s="2">
        <v>0.25</v>
      </c>
      <c r="D622" s="3">
        <v>10</v>
      </c>
      <c r="E622" s="40" t="s">
        <v>24</v>
      </c>
      <c r="F622" s="2">
        <v>0.18</v>
      </c>
      <c r="G622" s="2">
        <v>0</v>
      </c>
      <c r="H622" s="40"/>
      <c r="I622" s="2"/>
      <c r="J622" s="2">
        <v>0</v>
      </c>
      <c r="K622" s="41"/>
      <c r="M622" s="3"/>
      <c r="N622" s="2">
        <v>0</v>
      </c>
      <c r="O622" s="2">
        <v>0</v>
      </c>
      <c r="P622" s="6">
        <v>0</v>
      </c>
      <c r="Q622" s="6">
        <v>0</v>
      </c>
      <c r="R622" s="2">
        <v>4.4999999999999998E-2</v>
      </c>
      <c r="T622" s="41">
        <v>10</v>
      </c>
      <c r="Y622" s="7"/>
      <c r="AA622" s="8"/>
      <c r="AB622" s="9"/>
      <c r="AE622" s="10"/>
      <c r="AF622" s="11"/>
      <c r="AG622"/>
    </row>
    <row r="623" spans="1:33" x14ac:dyDescent="0.2">
      <c r="A623" s="39" t="s">
        <v>119</v>
      </c>
      <c r="B623" s="5" t="s">
        <v>13</v>
      </c>
      <c r="C623" s="2"/>
      <c r="D623" s="3"/>
      <c r="E623" s="40"/>
      <c r="F623" s="2"/>
      <c r="G623" s="2">
        <v>0</v>
      </c>
      <c r="H623" s="40"/>
      <c r="I623" s="2"/>
      <c r="J623" s="2">
        <v>0</v>
      </c>
      <c r="K623" s="41"/>
      <c r="M623" s="3">
        <v>0</v>
      </c>
      <c r="N623" s="2">
        <v>0</v>
      </c>
      <c r="O623" s="2">
        <v>0</v>
      </c>
      <c r="P623" s="6">
        <v>0</v>
      </c>
      <c r="Q623" s="6">
        <v>0</v>
      </c>
      <c r="R623" s="2">
        <v>0</v>
      </c>
      <c r="T623" s="41">
        <v>10</v>
      </c>
      <c r="Y623" s="7"/>
      <c r="AA623" s="8"/>
      <c r="AB623" s="9"/>
      <c r="AE623" s="10"/>
      <c r="AF623" s="11"/>
      <c r="AG623"/>
    </row>
    <row r="624" spans="1:33" x14ac:dyDescent="0.2">
      <c r="A624" s="39" t="s">
        <v>29</v>
      </c>
      <c r="B624" s="5" t="s">
        <v>15</v>
      </c>
      <c r="C624" s="2"/>
      <c r="D624" s="3"/>
      <c r="E624" s="40" t="s">
        <v>24</v>
      </c>
      <c r="F624" s="2"/>
      <c r="G624" s="2">
        <v>0</v>
      </c>
      <c r="H624" s="40"/>
      <c r="I624" s="2"/>
      <c r="J624" s="2">
        <v>0</v>
      </c>
      <c r="K624" s="41" t="s">
        <v>30</v>
      </c>
      <c r="L624" s="2">
        <v>0.25</v>
      </c>
      <c r="M624" s="3">
        <v>10</v>
      </c>
      <c r="N624" s="2">
        <v>0</v>
      </c>
      <c r="O624" s="2">
        <v>0</v>
      </c>
      <c r="P624" s="6">
        <v>0.02</v>
      </c>
      <c r="Q624" s="6">
        <v>6.25E-2</v>
      </c>
      <c r="R624" s="2">
        <v>3.1250000000000001E-4</v>
      </c>
      <c r="T624" s="41">
        <v>10</v>
      </c>
      <c r="Y624" s="7"/>
      <c r="AA624" s="8"/>
      <c r="AB624" s="9"/>
      <c r="AE624" s="10"/>
      <c r="AF624" s="11"/>
      <c r="AG624"/>
    </row>
    <row r="625" spans="1:33" x14ac:dyDescent="0.2">
      <c r="A625" s="39" t="s">
        <v>29</v>
      </c>
      <c r="B625" s="5" t="s">
        <v>15</v>
      </c>
      <c r="C625" s="2"/>
      <c r="D625" s="3"/>
      <c r="E625" s="40" t="s">
        <v>151</v>
      </c>
      <c r="F625" s="2"/>
      <c r="G625" s="2">
        <v>0</v>
      </c>
      <c r="H625" s="40"/>
      <c r="I625" s="2"/>
      <c r="J625" s="2">
        <v>0</v>
      </c>
      <c r="K625" s="41" t="s">
        <v>33</v>
      </c>
      <c r="L625" s="2">
        <v>8.3333329999999997E-2</v>
      </c>
      <c r="M625" s="3">
        <v>3.3333330000000001</v>
      </c>
      <c r="N625" s="2">
        <v>0</v>
      </c>
      <c r="O625" s="2">
        <v>0</v>
      </c>
      <c r="P625" s="6">
        <v>0.05</v>
      </c>
      <c r="Q625" s="6">
        <v>6.25E-2</v>
      </c>
      <c r="R625" s="2">
        <v>2.6041999999999998E-4</v>
      </c>
      <c r="T625" s="41">
        <v>10</v>
      </c>
      <c r="Y625" s="7"/>
      <c r="AA625" s="8"/>
      <c r="AB625" s="9"/>
      <c r="AE625" s="10"/>
      <c r="AF625" s="11"/>
      <c r="AG625"/>
    </row>
    <row r="626" spans="1:33" x14ac:dyDescent="0.2">
      <c r="A626" s="39" t="s">
        <v>36</v>
      </c>
      <c r="B626" s="5" t="s">
        <v>15</v>
      </c>
      <c r="C626" s="2"/>
      <c r="D626" s="3"/>
      <c r="E626" s="40" t="s">
        <v>24</v>
      </c>
      <c r="F626" s="2"/>
      <c r="G626" s="2">
        <v>0</v>
      </c>
      <c r="H626" s="40"/>
      <c r="I626" s="2"/>
      <c r="J626" s="2">
        <v>0</v>
      </c>
      <c r="K626" s="41" t="s">
        <v>141</v>
      </c>
      <c r="L626" s="2">
        <v>0.25</v>
      </c>
      <c r="M626" s="3">
        <v>10</v>
      </c>
      <c r="N626" s="2">
        <v>0</v>
      </c>
      <c r="O626" s="2">
        <v>0</v>
      </c>
      <c r="P626" s="6">
        <v>0.02</v>
      </c>
      <c r="Q626" s="6">
        <v>2.7799999999999998E-2</v>
      </c>
      <c r="R626" s="2">
        <v>1.3899999999999999E-4</v>
      </c>
      <c r="T626" s="41">
        <v>10</v>
      </c>
      <c r="Y626" s="7"/>
      <c r="AA626" s="8"/>
      <c r="AB626" s="9"/>
      <c r="AE626" s="10"/>
      <c r="AF626" s="11"/>
      <c r="AG626"/>
    </row>
    <row r="627" spans="1:33" x14ac:dyDescent="0.2">
      <c r="A627" s="39" t="s">
        <v>36</v>
      </c>
      <c r="B627" s="5" t="s">
        <v>15</v>
      </c>
      <c r="C627" s="2"/>
      <c r="D627" s="3"/>
      <c r="E627" s="40" t="s">
        <v>151</v>
      </c>
      <c r="F627" s="2"/>
      <c r="G627" s="2">
        <v>0</v>
      </c>
      <c r="H627" s="40"/>
      <c r="I627" s="2"/>
      <c r="J627" s="2">
        <v>0</v>
      </c>
      <c r="K627" s="41" t="s">
        <v>141</v>
      </c>
      <c r="L627" s="2">
        <v>8.3333329999999997E-2</v>
      </c>
      <c r="M627" s="3">
        <v>3.3333330000000001</v>
      </c>
      <c r="N627" s="2">
        <v>0</v>
      </c>
      <c r="O627" s="2">
        <v>0</v>
      </c>
      <c r="P627" s="6">
        <v>0.05</v>
      </c>
      <c r="Q627" s="6">
        <v>2.7799999999999998E-2</v>
      </c>
      <c r="R627" s="2">
        <v>1.1582999999999999E-4</v>
      </c>
      <c r="T627" s="41">
        <v>10</v>
      </c>
      <c r="Y627" s="7"/>
      <c r="AA627" s="8"/>
      <c r="AB627" s="9"/>
      <c r="AE627" s="10"/>
      <c r="AF627" s="11"/>
      <c r="AG627"/>
    </row>
    <row r="628" spans="1:33" x14ac:dyDescent="0.2">
      <c r="A628" s="39" t="s">
        <v>324</v>
      </c>
      <c r="B628" s="5" t="s">
        <v>15</v>
      </c>
      <c r="C628" s="2"/>
      <c r="D628" s="3"/>
      <c r="E628" s="40" t="s">
        <v>325</v>
      </c>
      <c r="F628" s="2"/>
      <c r="G628" s="2">
        <v>0</v>
      </c>
      <c r="H628" s="40"/>
      <c r="I628" s="2"/>
      <c r="J628" s="2">
        <v>0</v>
      </c>
      <c r="K628" s="41" t="s">
        <v>34</v>
      </c>
      <c r="L628" s="2">
        <v>0.54166667000000002</v>
      </c>
      <c r="M628" s="3">
        <v>21.666667</v>
      </c>
      <c r="N628" s="2">
        <v>0</v>
      </c>
      <c r="O628" s="2">
        <v>0</v>
      </c>
      <c r="P628" s="6">
        <v>0.01</v>
      </c>
      <c r="Q628" s="6">
        <v>0.25</v>
      </c>
      <c r="R628" s="2">
        <v>1.35417E-3</v>
      </c>
      <c r="T628" s="41">
        <v>10</v>
      </c>
      <c r="Y628" s="7"/>
      <c r="AA628" s="8"/>
      <c r="AB628" s="9"/>
      <c r="AE628" s="10"/>
      <c r="AF628" s="11"/>
      <c r="AG628"/>
    </row>
    <row r="629" spans="1:33" x14ac:dyDescent="0.2">
      <c r="A629" s="39" t="s">
        <v>326</v>
      </c>
      <c r="B629" s="5" t="s">
        <v>15</v>
      </c>
      <c r="C629" s="2"/>
      <c r="D629" s="3"/>
      <c r="E629" s="40" t="s">
        <v>317</v>
      </c>
      <c r="F629" s="2"/>
      <c r="G629" s="2">
        <v>0</v>
      </c>
      <c r="H629" s="40"/>
      <c r="I629" s="2"/>
      <c r="J629" s="2">
        <v>0</v>
      </c>
      <c r="K629" s="41" t="s">
        <v>115</v>
      </c>
      <c r="L629" s="2">
        <v>0.125</v>
      </c>
      <c r="M629" s="3">
        <v>7.5</v>
      </c>
      <c r="N629" s="2">
        <v>0</v>
      </c>
      <c r="O629" s="2">
        <v>0</v>
      </c>
      <c r="P629" s="6">
        <v>0.01</v>
      </c>
      <c r="Q629" s="6">
        <v>0.3</v>
      </c>
      <c r="R629" s="2">
        <v>3.7500000000000001E-4</v>
      </c>
      <c r="T629" s="41">
        <v>10</v>
      </c>
      <c r="Y629" s="7"/>
      <c r="AA629" s="8"/>
      <c r="AB629" s="9"/>
      <c r="AE629" s="10"/>
      <c r="AF629" s="11"/>
      <c r="AG629"/>
    </row>
    <row r="630" spans="1:33" x14ac:dyDescent="0.2">
      <c r="A630" s="39" t="s">
        <v>274</v>
      </c>
      <c r="B630" s="5" t="s">
        <v>15</v>
      </c>
      <c r="C630" s="2"/>
      <c r="D630" s="3"/>
      <c r="E630" s="40" t="s">
        <v>24</v>
      </c>
      <c r="F630" s="2"/>
      <c r="G630" s="2">
        <v>0</v>
      </c>
      <c r="H630" s="40"/>
      <c r="I630" s="2"/>
      <c r="J630" s="2">
        <v>0</v>
      </c>
      <c r="K630" s="41" t="s">
        <v>30</v>
      </c>
      <c r="L630" s="2">
        <v>0.25</v>
      </c>
      <c r="M630" s="3">
        <v>10</v>
      </c>
      <c r="N630" s="2">
        <v>0</v>
      </c>
      <c r="O630" s="2">
        <v>0</v>
      </c>
      <c r="P630" s="6">
        <v>0.02</v>
      </c>
      <c r="Q630" s="6">
        <v>3.125E-2</v>
      </c>
      <c r="R630" s="2">
        <v>1.5625E-4</v>
      </c>
      <c r="T630" s="41">
        <v>10</v>
      </c>
      <c r="Y630" s="7"/>
      <c r="AA630" s="8"/>
      <c r="AB630" s="9"/>
      <c r="AE630" s="10"/>
      <c r="AF630" s="11"/>
      <c r="AG630"/>
    </row>
    <row r="631" spans="1:33" x14ac:dyDescent="0.2">
      <c r="A631" s="39" t="s">
        <v>274</v>
      </c>
      <c r="B631" s="5" t="s">
        <v>15</v>
      </c>
      <c r="C631" s="2"/>
      <c r="D631" s="3"/>
      <c r="E631" s="40" t="s">
        <v>151</v>
      </c>
      <c r="F631" s="2"/>
      <c r="G631" s="2">
        <v>0</v>
      </c>
      <c r="H631" s="40"/>
      <c r="I631" s="2"/>
      <c r="J631" s="2">
        <v>0</v>
      </c>
      <c r="K631" s="41" t="s">
        <v>33</v>
      </c>
      <c r="L631" s="2">
        <v>8.3333329999999997E-2</v>
      </c>
      <c r="M631" s="3">
        <v>3.3333330000000001</v>
      </c>
      <c r="N631" s="2">
        <v>0</v>
      </c>
      <c r="O631" s="2">
        <v>0</v>
      </c>
      <c r="P631" s="6">
        <v>0.05</v>
      </c>
      <c r="Q631" s="6">
        <v>3.125E-2</v>
      </c>
      <c r="R631" s="2">
        <v>1.3020999999999999E-4</v>
      </c>
      <c r="T631" s="41">
        <v>10</v>
      </c>
      <c r="Y631" s="7"/>
      <c r="AA631" s="8"/>
      <c r="AB631" s="9"/>
      <c r="AE631" s="10"/>
      <c r="AF631" s="11"/>
      <c r="AG631"/>
    </row>
    <row r="632" spans="1:33" x14ac:dyDescent="0.2">
      <c r="A632" s="39" t="s">
        <v>328</v>
      </c>
      <c r="B632" s="5" t="s">
        <v>15</v>
      </c>
      <c r="C632" s="2"/>
      <c r="D632" s="3"/>
      <c r="E632" s="40" t="s">
        <v>317</v>
      </c>
      <c r="F632" s="2"/>
      <c r="G632" s="2">
        <v>0</v>
      </c>
      <c r="H632" s="40"/>
      <c r="I632" s="2"/>
      <c r="J632" s="2">
        <v>0</v>
      </c>
      <c r="K632" s="41" t="s">
        <v>115</v>
      </c>
      <c r="L632" s="2">
        <v>0.125</v>
      </c>
      <c r="M632" s="3">
        <v>21.666667</v>
      </c>
      <c r="N632" s="2">
        <v>0</v>
      </c>
      <c r="O632" s="2">
        <v>0</v>
      </c>
      <c r="P632" s="6">
        <v>0.01</v>
      </c>
      <c r="Q632" s="6">
        <v>0.15</v>
      </c>
      <c r="R632" s="2">
        <v>1.875E-4</v>
      </c>
      <c r="T632" s="41">
        <v>10</v>
      </c>
      <c r="Y632" s="7"/>
      <c r="AA632" s="8"/>
      <c r="AB632" s="9"/>
      <c r="AE632" s="10"/>
      <c r="AF632" s="11"/>
      <c r="AG632"/>
    </row>
    <row r="633" spans="1:33" x14ac:dyDescent="0.2">
      <c r="A633" s="39" t="s">
        <v>69</v>
      </c>
      <c r="B633" s="5" t="s">
        <v>15</v>
      </c>
      <c r="C633" s="2"/>
      <c r="D633" s="3"/>
      <c r="E633" s="40" t="s">
        <v>24</v>
      </c>
      <c r="F633" s="2"/>
      <c r="G633" s="2">
        <v>0</v>
      </c>
      <c r="H633" s="40"/>
      <c r="I633" s="2"/>
      <c r="J633" s="2">
        <v>0</v>
      </c>
      <c r="K633" s="41" t="s">
        <v>31</v>
      </c>
      <c r="L633" s="2">
        <v>0.25</v>
      </c>
      <c r="M633" s="3">
        <v>10</v>
      </c>
      <c r="N633" s="2">
        <v>0</v>
      </c>
      <c r="O633" s="2">
        <v>0</v>
      </c>
      <c r="P633" s="6">
        <v>0.02</v>
      </c>
      <c r="Q633" s="6">
        <v>0.38884999999999997</v>
      </c>
      <c r="R633" s="2">
        <v>1.94425E-3</v>
      </c>
      <c r="T633" s="41">
        <v>10</v>
      </c>
      <c r="Y633" s="7"/>
      <c r="AA633" s="8"/>
      <c r="AB633" s="9"/>
      <c r="AE633" s="10"/>
      <c r="AF633" s="11"/>
      <c r="AG633"/>
    </row>
    <row r="634" spans="1:33" x14ac:dyDescent="0.2">
      <c r="A634" s="39" t="s">
        <v>69</v>
      </c>
      <c r="B634" s="5" t="s">
        <v>15</v>
      </c>
      <c r="C634" s="2"/>
      <c r="D634" s="3"/>
      <c r="E634" s="40" t="s">
        <v>151</v>
      </c>
      <c r="F634" s="2"/>
      <c r="G634" s="2">
        <v>0</v>
      </c>
      <c r="H634" s="40"/>
      <c r="I634" s="2"/>
      <c r="J634" s="2">
        <v>0</v>
      </c>
      <c r="K634" s="41" t="s">
        <v>31</v>
      </c>
      <c r="L634" s="2">
        <v>8.3333329999999997E-2</v>
      </c>
      <c r="M634" s="3">
        <v>3.3333330000000001</v>
      </c>
      <c r="N634" s="2">
        <v>0</v>
      </c>
      <c r="O634" s="2">
        <v>0</v>
      </c>
      <c r="P634" s="6">
        <v>0.05</v>
      </c>
      <c r="Q634" s="6">
        <v>0.38884999999999997</v>
      </c>
      <c r="R634" s="2">
        <v>1.62021E-3</v>
      </c>
      <c r="T634" s="41">
        <v>10</v>
      </c>
      <c r="Y634" s="7"/>
      <c r="AA634" s="8"/>
      <c r="AB634" s="9"/>
      <c r="AE634" s="10"/>
      <c r="AF634" s="11"/>
      <c r="AG634"/>
    </row>
    <row r="635" spans="1:33" x14ac:dyDescent="0.2">
      <c r="A635" s="39" t="s">
        <v>279</v>
      </c>
      <c r="B635" s="5" t="s">
        <v>15</v>
      </c>
      <c r="C635" s="2"/>
      <c r="D635" s="3"/>
      <c r="E635" s="40" t="s">
        <v>24</v>
      </c>
      <c r="F635" s="2"/>
      <c r="G635" s="2">
        <v>0</v>
      </c>
      <c r="H635" s="40"/>
      <c r="I635" s="2"/>
      <c r="J635" s="2">
        <v>0</v>
      </c>
      <c r="K635" s="41" t="s">
        <v>30</v>
      </c>
      <c r="L635" s="2">
        <v>0.25</v>
      </c>
      <c r="M635" s="3">
        <v>10</v>
      </c>
      <c r="N635" s="2">
        <v>0</v>
      </c>
      <c r="O635" s="2">
        <v>0</v>
      </c>
      <c r="P635" s="6">
        <v>0.02</v>
      </c>
      <c r="Q635" s="6">
        <v>0.125</v>
      </c>
      <c r="R635" s="2">
        <v>6.2500000000000001E-4</v>
      </c>
      <c r="T635" s="41">
        <v>10</v>
      </c>
      <c r="Y635" s="7"/>
      <c r="AA635" s="8"/>
      <c r="AB635" s="9"/>
      <c r="AE635" s="10"/>
      <c r="AF635" s="11"/>
      <c r="AG635"/>
    </row>
    <row r="636" spans="1:33" x14ac:dyDescent="0.2">
      <c r="A636" s="39" t="s">
        <v>279</v>
      </c>
      <c r="B636" s="5" t="s">
        <v>15</v>
      </c>
      <c r="C636" s="2"/>
      <c r="D636" s="3"/>
      <c r="E636" s="40" t="s">
        <v>151</v>
      </c>
      <c r="F636" s="2"/>
      <c r="G636" s="2">
        <v>0</v>
      </c>
      <c r="H636" s="40"/>
      <c r="I636" s="2"/>
      <c r="J636" s="2">
        <v>0</v>
      </c>
      <c r="K636" s="41" t="s">
        <v>33</v>
      </c>
      <c r="L636" s="2">
        <v>8.3333329999999997E-2</v>
      </c>
      <c r="M636" s="3">
        <v>3.3333330000000001</v>
      </c>
      <c r="N636" s="2">
        <v>0</v>
      </c>
      <c r="O636" s="2">
        <v>0</v>
      </c>
      <c r="P636" s="6">
        <v>0.05</v>
      </c>
      <c r="Q636" s="6">
        <v>0.125</v>
      </c>
      <c r="R636" s="2">
        <v>5.2083000000000001E-4</v>
      </c>
      <c r="T636" s="41">
        <v>10</v>
      </c>
      <c r="Y636" s="7"/>
      <c r="AA636" s="8"/>
      <c r="AB636" s="9"/>
      <c r="AE636" s="10"/>
      <c r="AF636" s="11"/>
      <c r="AG636"/>
    </row>
    <row r="637" spans="1:33" x14ac:dyDescent="0.2">
      <c r="A637" s="39" t="s">
        <v>280</v>
      </c>
      <c r="B637" s="5" t="s">
        <v>15</v>
      </c>
      <c r="C637" s="2"/>
      <c r="D637" s="3"/>
      <c r="E637" s="40" t="s">
        <v>24</v>
      </c>
      <c r="F637" s="2"/>
      <c r="G637" s="2">
        <v>0</v>
      </c>
      <c r="H637" s="40"/>
      <c r="I637" s="2"/>
      <c r="J637" s="2">
        <v>0</v>
      </c>
      <c r="K637" s="41" t="s">
        <v>147</v>
      </c>
      <c r="L637" s="2">
        <v>0.25</v>
      </c>
      <c r="M637" s="3">
        <v>10</v>
      </c>
      <c r="N637" s="2">
        <v>0</v>
      </c>
      <c r="O637" s="2">
        <v>0</v>
      </c>
      <c r="P637" s="6">
        <v>1.4999999999999999E-2</v>
      </c>
      <c r="Q637" s="6">
        <v>0.125</v>
      </c>
      <c r="R637" s="2">
        <v>4.6874999999999998E-4</v>
      </c>
      <c r="T637" s="41">
        <v>10</v>
      </c>
      <c r="Y637" s="7"/>
      <c r="AA637" s="8"/>
      <c r="AB637" s="9"/>
      <c r="AE637" s="10"/>
      <c r="AF637" s="11"/>
      <c r="AG637"/>
    </row>
    <row r="638" spans="1:33" x14ac:dyDescent="0.2">
      <c r="A638" s="39" t="s">
        <v>280</v>
      </c>
      <c r="B638" s="5" t="s">
        <v>15</v>
      </c>
      <c r="C638" s="2"/>
      <c r="D638" s="3"/>
      <c r="E638" s="40" t="s">
        <v>151</v>
      </c>
      <c r="F638" s="2"/>
      <c r="G638" s="2">
        <v>0</v>
      </c>
      <c r="H638" s="40"/>
      <c r="I638" s="2"/>
      <c r="J638" s="2">
        <v>0</v>
      </c>
      <c r="K638" s="41" t="s">
        <v>147</v>
      </c>
      <c r="L638" s="2">
        <v>8.3333329999999997E-2</v>
      </c>
      <c r="M638" s="3">
        <v>3.3333330000000001</v>
      </c>
      <c r="N638" s="2">
        <v>0</v>
      </c>
      <c r="O638" s="2">
        <v>0</v>
      </c>
      <c r="P638" s="6">
        <v>1.4999999999999999E-2</v>
      </c>
      <c r="Q638" s="6">
        <v>0.11874999999999999</v>
      </c>
      <c r="R638" s="2">
        <v>1.4844000000000001E-4</v>
      </c>
      <c r="T638" s="41">
        <v>10</v>
      </c>
      <c r="Y638" s="7"/>
      <c r="AA638" s="8"/>
      <c r="AB638" s="9"/>
      <c r="AE638" s="10"/>
      <c r="AF638" s="11"/>
      <c r="AG638"/>
    </row>
    <row r="639" spans="1:33" x14ac:dyDescent="0.2">
      <c r="A639" s="39" t="s">
        <v>365</v>
      </c>
      <c r="B639" s="5" t="s">
        <v>15</v>
      </c>
      <c r="C639" s="2"/>
      <c r="D639" s="3"/>
      <c r="E639" s="40" t="s">
        <v>317</v>
      </c>
      <c r="F639" s="2"/>
      <c r="G639" s="2">
        <v>0</v>
      </c>
      <c r="H639" s="40"/>
      <c r="I639" s="2"/>
      <c r="J639" s="2">
        <v>0</v>
      </c>
      <c r="K639" s="41"/>
      <c r="L639" s="2">
        <v>0.125</v>
      </c>
      <c r="M639" s="3">
        <v>5</v>
      </c>
      <c r="N639" s="2">
        <v>0</v>
      </c>
      <c r="O639" s="2">
        <v>0</v>
      </c>
      <c r="P639" s="6">
        <v>0.01</v>
      </c>
      <c r="Q639" s="6">
        <v>0.9</v>
      </c>
      <c r="R639" s="2">
        <v>1.1249999999999999E-3</v>
      </c>
      <c r="T639" s="41">
        <v>10</v>
      </c>
      <c r="Y639" s="7"/>
      <c r="AA639" s="8"/>
      <c r="AB639" s="9"/>
      <c r="AE639" s="10"/>
      <c r="AF639" s="11"/>
      <c r="AG639"/>
    </row>
    <row r="640" spans="1:33" x14ac:dyDescent="0.2">
      <c r="A640" s="39" t="s">
        <v>85</v>
      </c>
      <c r="B640" s="5" t="s">
        <v>15</v>
      </c>
      <c r="C640" s="2"/>
      <c r="D640" s="3"/>
      <c r="E640" s="40" t="s">
        <v>317</v>
      </c>
      <c r="F640" s="2"/>
      <c r="G640" s="2">
        <v>0</v>
      </c>
      <c r="H640" s="40"/>
      <c r="I640" s="2"/>
      <c r="J640" s="2">
        <v>0</v>
      </c>
      <c r="K640" s="41" t="s">
        <v>366</v>
      </c>
      <c r="L640" s="2">
        <v>0.125</v>
      </c>
      <c r="M640" s="3">
        <v>5</v>
      </c>
      <c r="N640" s="2">
        <v>0</v>
      </c>
      <c r="O640" s="2">
        <v>0</v>
      </c>
      <c r="P640" s="6">
        <v>0.01</v>
      </c>
      <c r="Q640" s="6">
        <v>0.6</v>
      </c>
      <c r="R640" s="2">
        <v>7.5000000000000002E-4</v>
      </c>
      <c r="T640" s="41">
        <v>10</v>
      </c>
      <c r="Y640" s="7"/>
      <c r="AA640" s="8"/>
      <c r="AB640" s="9"/>
      <c r="AE640" s="10"/>
      <c r="AF640" s="11"/>
      <c r="AG640"/>
    </row>
    <row r="641" spans="1:33" x14ac:dyDescent="0.2">
      <c r="A641" s="39" t="s">
        <v>331</v>
      </c>
      <c r="B641" s="5" t="s">
        <v>15</v>
      </c>
      <c r="C641" s="2"/>
      <c r="D641" s="3"/>
      <c r="E641" s="40" t="s">
        <v>317</v>
      </c>
      <c r="F641" s="2"/>
      <c r="G641" s="2">
        <v>0</v>
      </c>
      <c r="H641" s="40"/>
      <c r="I641" s="2"/>
      <c r="J641" s="2">
        <v>0</v>
      </c>
      <c r="K641" s="41" t="s">
        <v>115</v>
      </c>
      <c r="L641" s="2">
        <v>0.125</v>
      </c>
      <c r="M641" s="3">
        <v>7.5</v>
      </c>
      <c r="N641" s="2">
        <v>0</v>
      </c>
      <c r="O641" s="2">
        <v>0</v>
      </c>
      <c r="P641" s="6">
        <v>0.01</v>
      </c>
      <c r="Q641" s="6">
        <v>0.15</v>
      </c>
      <c r="R641" s="2">
        <v>1.875E-4</v>
      </c>
      <c r="T641" s="41">
        <v>10</v>
      </c>
      <c r="Y641" s="7"/>
      <c r="AA641" s="8"/>
      <c r="AB641" s="9"/>
      <c r="AE641" s="10"/>
      <c r="AF641" s="11"/>
      <c r="AG641"/>
    </row>
    <row r="642" spans="1:33" x14ac:dyDescent="0.2">
      <c r="A642" s="39" t="s">
        <v>284</v>
      </c>
      <c r="B642" s="5" t="s">
        <v>15</v>
      </c>
      <c r="C642" s="2"/>
      <c r="D642" s="3"/>
      <c r="E642" s="40" t="s">
        <v>24</v>
      </c>
      <c r="F642" s="2"/>
      <c r="G642" s="2">
        <v>0</v>
      </c>
      <c r="H642" s="40"/>
      <c r="I642" s="2"/>
      <c r="J642" s="2">
        <v>0</v>
      </c>
      <c r="K642" s="41" t="s">
        <v>30</v>
      </c>
      <c r="L642" s="2">
        <v>0.25</v>
      </c>
      <c r="M642" s="3">
        <v>10</v>
      </c>
      <c r="N642" s="2">
        <v>0</v>
      </c>
      <c r="O642" s="2">
        <v>0</v>
      </c>
      <c r="P642" s="6">
        <v>0.02</v>
      </c>
      <c r="Q642" s="6">
        <v>3.125E-2</v>
      </c>
      <c r="R642" s="2">
        <v>1.5625E-4</v>
      </c>
      <c r="T642" s="41">
        <v>10</v>
      </c>
      <c r="Y642" s="7"/>
      <c r="AA642" s="8"/>
      <c r="AB642" s="9"/>
      <c r="AE642" s="10"/>
      <c r="AF642" s="11"/>
      <c r="AG642"/>
    </row>
    <row r="643" spans="1:33" x14ac:dyDescent="0.2">
      <c r="A643" s="39" t="s">
        <v>284</v>
      </c>
      <c r="B643" s="5" t="s">
        <v>15</v>
      </c>
      <c r="C643" s="2"/>
      <c r="D643" s="3"/>
      <c r="E643" s="40" t="s">
        <v>151</v>
      </c>
      <c r="F643" s="2"/>
      <c r="G643" s="2">
        <v>0</v>
      </c>
      <c r="H643" s="40"/>
      <c r="I643" s="2"/>
      <c r="J643" s="2">
        <v>0</v>
      </c>
      <c r="K643" s="41" t="s">
        <v>33</v>
      </c>
      <c r="L643" s="2">
        <v>8.3333329999999997E-2</v>
      </c>
      <c r="M643" s="3">
        <v>3.3333330000000001</v>
      </c>
      <c r="N643" s="2">
        <v>0</v>
      </c>
      <c r="O643" s="2">
        <v>0</v>
      </c>
      <c r="P643" s="6">
        <v>0.05</v>
      </c>
      <c r="Q643" s="6">
        <v>3.125E-2</v>
      </c>
      <c r="R643" s="2">
        <v>1.3020999999999999E-4</v>
      </c>
      <c r="T643" s="41">
        <v>10</v>
      </c>
      <c r="Y643" s="7"/>
      <c r="AA643" s="8"/>
      <c r="AB643" s="9"/>
      <c r="AE643" s="10"/>
      <c r="AF643" s="11"/>
      <c r="AG643"/>
    </row>
    <row r="644" spans="1:33" x14ac:dyDescent="0.2">
      <c r="A644" s="39" t="s">
        <v>332</v>
      </c>
      <c r="B644" s="5" t="s">
        <v>15</v>
      </c>
      <c r="C644" s="2"/>
      <c r="D644" s="3"/>
      <c r="E644" s="40" t="s">
        <v>317</v>
      </c>
      <c r="F644" s="2"/>
      <c r="G644" s="2">
        <v>0</v>
      </c>
      <c r="H644" s="40"/>
      <c r="I644" s="2"/>
      <c r="J644" s="2">
        <v>0</v>
      </c>
      <c r="K644" s="41" t="s">
        <v>115</v>
      </c>
      <c r="L644" s="2">
        <v>0.125</v>
      </c>
      <c r="M644" s="3">
        <v>7.5</v>
      </c>
      <c r="N644" s="2">
        <v>0</v>
      </c>
      <c r="O644" s="2">
        <v>0</v>
      </c>
      <c r="P644" s="6">
        <v>0.01</v>
      </c>
      <c r="Q644" s="6">
        <v>0.3</v>
      </c>
      <c r="R644" s="2">
        <v>3.7500000000000001E-4</v>
      </c>
      <c r="T644" s="41">
        <v>10</v>
      </c>
      <c r="Y644" s="7"/>
      <c r="AA644" s="8"/>
      <c r="AB644" s="9"/>
      <c r="AE644" s="10"/>
      <c r="AF644" s="11"/>
      <c r="AG644"/>
    </row>
    <row r="645" spans="1:33" x14ac:dyDescent="0.2">
      <c r="A645" s="39" t="s">
        <v>333</v>
      </c>
      <c r="B645" s="5" t="s">
        <v>15</v>
      </c>
      <c r="C645" s="2"/>
      <c r="D645" s="3"/>
      <c r="E645" s="40" t="s">
        <v>325</v>
      </c>
      <c r="F645" s="2"/>
      <c r="G645" s="2">
        <v>0</v>
      </c>
      <c r="H645" s="40"/>
      <c r="I645" s="2"/>
      <c r="J645" s="2">
        <v>0</v>
      </c>
      <c r="K645" s="41" t="s">
        <v>49</v>
      </c>
      <c r="L645" s="2">
        <v>0.54166667000000002</v>
      </c>
      <c r="M645" s="3">
        <v>21.666667</v>
      </c>
      <c r="N645" s="2">
        <v>0</v>
      </c>
      <c r="O645" s="2">
        <v>0</v>
      </c>
      <c r="P645" s="6">
        <v>0.01</v>
      </c>
      <c r="Q645" s="6">
        <v>0.25</v>
      </c>
      <c r="R645" s="2">
        <v>1.35417E-3</v>
      </c>
      <c r="T645" s="41">
        <v>10</v>
      </c>
      <c r="Y645" s="7"/>
      <c r="AA645" s="8"/>
      <c r="AB645" s="9"/>
      <c r="AE645" s="10"/>
      <c r="AF645" s="11"/>
      <c r="AG645"/>
    </row>
    <row r="646" spans="1:33" x14ac:dyDescent="0.2">
      <c r="A646" s="39" t="s">
        <v>287</v>
      </c>
      <c r="B646" s="5" t="s">
        <v>15</v>
      </c>
      <c r="C646" s="2"/>
      <c r="D646" s="3"/>
      <c r="E646" s="40" t="s">
        <v>24</v>
      </c>
      <c r="F646" s="2"/>
      <c r="G646" s="2">
        <v>0</v>
      </c>
      <c r="H646" s="40"/>
      <c r="I646" s="2"/>
      <c r="J646" s="2">
        <v>0</v>
      </c>
      <c r="K646" s="41" t="s">
        <v>30</v>
      </c>
      <c r="L646" s="2">
        <v>0.25</v>
      </c>
      <c r="M646" s="3">
        <v>10</v>
      </c>
      <c r="N646" s="2">
        <v>0</v>
      </c>
      <c r="O646" s="2">
        <v>0</v>
      </c>
      <c r="P646" s="6">
        <v>0.02</v>
      </c>
      <c r="Q646" s="6">
        <v>6.25E-2</v>
      </c>
      <c r="R646" s="2">
        <v>3.1250000000000001E-4</v>
      </c>
      <c r="T646" s="41">
        <v>10</v>
      </c>
      <c r="Y646" s="7"/>
      <c r="AA646" s="8"/>
      <c r="AB646" s="9"/>
      <c r="AE646" s="10"/>
      <c r="AF646" s="11"/>
      <c r="AG646"/>
    </row>
    <row r="647" spans="1:33" x14ac:dyDescent="0.2">
      <c r="A647" s="39" t="s">
        <v>287</v>
      </c>
      <c r="B647" s="5" t="s">
        <v>15</v>
      </c>
      <c r="C647" s="2"/>
      <c r="D647" s="3"/>
      <c r="E647" s="40" t="s">
        <v>151</v>
      </c>
      <c r="F647" s="2"/>
      <c r="G647" s="2">
        <v>0</v>
      </c>
      <c r="H647" s="40"/>
      <c r="I647" s="2"/>
      <c r="J647" s="2">
        <v>0</v>
      </c>
      <c r="K647" s="41" t="s">
        <v>33</v>
      </c>
      <c r="L647" s="2">
        <v>8.3333329999999997E-2</v>
      </c>
      <c r="M647" s="3">
        <v>3.3333330000000001</v>
      </c>
      <c r="N647" s="2">
        <v>0</v>
      </c>
      <c r="O647" s="2">
        <v>0</v>
      </c>
      <c r="P647" s="6">
        <v>0.05</v>
      </c>
      <c r="Q647" s="6">
        <v>6.25E-2</v>
      </c>
      <c r="R647" s="2">
        <v>2.6041999999999998E-4</v>
      </c>
      <c r="T647" s="41">
        <v>10</v>
      </c>
      <c r="Y647" s="7"/>
      <c r="AA647" s="8"/>
      <c r="AB647" s="9"/>
      <c r="AE647" s="10"/>
      <c r="AF647" s="11"/>
      <c r="AG647"/>
    </row>
    <row r="648" spans="1:33" x14ac:dyDescent="0.2">
      <c r="A648" s="39" t="s">
        <v>288</v>
      </c>
      <c r="B648" s="5" t="s">
        <v>15</v>
      </c>
      <c r="C648" s="2"/>
      <c r="D648" s="3"/>
      <c r="E648" s="40" t="s">
        <v>24</v>
      </c>
      <c r="F648" s="2"/>
      <c r="G648" s="2">
        <v>0</v>
      </c>
      <c r="H648" s="40"/>
      <c r="I648" s="2"/>
      <c r="J648" s="2">
        <v>0</v>
      </c>
      <c r="K648" s="41" t="s">
        <v>30</v>
      </c>
      <c r="L648" s="2">
        <v>0.25</v>
      </c>
      <c r="M648" s="3">
        <v>10</v>
      </c>
      <c r="N648" s="2">
        <v>0</v>
      </c>
      <c r="O648" s="2">
        <v>0</v>
      </c>
      <c r="P648" s="6">
        <v>0.02</v>
      </c>
      <c r="Q648" s="6">
        <v>0.125</v>
      </c>
      <c r="R648" s="2">
        <v>6.2500000000000001E-4</v>
      </c>
      <c r="T648" s="41">
        <v>10</v>
      </c>
      <c r="Y648" s="7"/>
      <c r="AA648" s="8"/>
      <c r="AB648" s="9"/>
      <c r="AE648" s="10"/>
      <c r="AF648" s="11"/>
      <c r="AG648"/>
    </row>
    <row r="649" spans="1:33" x14ac:dyDescent="0.2">
      <c r="A649" s="39" t="s">
        <v>288</v>
      </c>
      <c r="B649" s="5" t="s">
        <v>15</v>
      </c>
      <c r="C649" s="2"/>
      <c r="D649" s="3"/>
      <c r="E649" s="40" t="s">
        <v>151</v>
      </c>
      <c r="F649" s="2"/>
      <c r="G649" s="2">
        <v>0</v>
      </c>
      <c r="H649" s="40"/>
      <c r="I649" s="2"/>
      <c r="J649" s="2">
        <v>0</v>
      </c>
      <c r="K649" s="41" t="s">
        <v>33</v>
      </c>
      <c r="L649" s="2">
        <v>8.3333329999999997E-2</v>
      </c>
      <c r="M649" s="3">
        <v>3.3333330000000001</v>
      </c>
      <c r="N649" s="2">
        <v>0</v>
      </c>
      <c r="O649" s="2">
        <v>0</v>
      </c>
      <c r="P649" s="6">
        <v>0.05</v>
      </c>
      <c r="Q649" s="6">
        <v>0.125</v>
      </c>
      <c r="R649" s="2">
        <v>5.2083000000000001E-4</v>
      </c>
      <c r="T649" s="41">
        <v>10</v>
      </c>
      <c r="Y649" s="7"/>
      <c r="AA649" s="8"/>
      <c r="AB649" s="9"/>
      <c r="AE649" s="10"/>
      <c r="AF649" s="11"/>
      <c r="AG649"/>
    </row>
    <row r="650" spans="1:33" x14ac:dyDescent="0.2">
      <c r="A650" s="39" t="s">
        <v>334</v>
      </c>
      <c r="B650" s="5" t="s">
        <v>15</v>
      </c>
      <c r="C650" s="2"/>
      <c r="D650" s="3"/>
      <c r="E650" s="40" t="s">
        <v>317</v>
      </c>
      <c r="F650" s="2"/>
      <c r="G650" s="2">
        <v>0</v>
      </c>
      <c r="H650" s="40"/>
      <c r="I650" s="2"/>
      <c r="J650" s="2">
        <v>0</v>
      </c>
      <c r="K650" s="41" t="s">
        <v>115</v>
      </c>
      <c r="L650" s="2">
        <v>0.125</v>
      </c>
      <c r="M650" s="3">
        <v>7.5</v>
      </c>
      <c r="N650" s="2">
        <v>0</v>
      </c>
      <c r="O650" s="2">
        <v>0</v>
      </c>
      <c r="P650" s="6">
        <v>0.01</v>
      </c>
      <c r="Q650" s="6">
        <v>0.15</v>
      </c>
      <c r="R650" s="2">
        <v>1.875E-4</v>
      </c>
      <c r="T650" s="41">
        <v>10</v>
      </c>
      <c r="Y650" s="7"/>
      <c r="AA650" s="8"/>
      <c r="AB650" s="9"/>
      <c r="AE650" s="10"/>
      <c r="AF650" s="11"/>
      <c r="AG650"/>
    </row>
    <row r="651" spans="1:33" ht="38.25" x14ac:dyDescent="0.2">
      <c r="A651" s="39" t="s">
        <v>335</v>
      </c>
      <c r="B651" s="5" t="s">
        <v>15</v>
      </c>
      <c r="C651" s="2"/>
      <c r="D651" s="3"/>
      <c r="E651" s="40" t="s">
        <v>317</v>
      </c>
      <c r="F651" s="2"/>
      <c r="G651" s="2">
        <v>0</v>
      </c>
      <c r="H651" s="40"/>
      <c r="I651" s="2"/>
      <c r="J651" s="2">
        <v>0</v>
      </c>
      <c r="K651" s="41" t="s">
        <v>115</v>
      </c>
      <c r="L651" s="2">
        <v>0.125</v>
      </c>
      <c r="M651" s="3">
        <v>5</v>
      </c>
      <c r="N651" s="2">
        <v>0</v>
      </c>
      <c r="O651" s="2">
        <v>0</v>
      </c>
      <c r="P651" s="6">
        <v>0.01</v>
      </c>
      <c r="Q651" s="6">
        <v>0.3</v>
      </c>
      <c r="R651" s="2">
        <v>3.7500000000000001E-4</v>
      </c>
      <c r="S651" s="4" t="s">
        <v>147</v>
      </c>
      <c r="T651" s="41">
        <v>10</v>
      </c>
      <c r="Y651" s="7"/>
      <c r="AA651" s="8"/>
      <c r="AB651" s="9"/>
      <c r="AE651" s="10"/>
      <c r="AF651" s="11"/>
      <c r="AG651"/>
    </row>
    <row r="652" spans="1:33" ht="25.5" x14ac:dyDescent="0.2">
      <c r="A652" s="39" t="s">
        <v>289</v>
      </c>
      <c r="B652" s="5" t="s">
        <v>15</v>
      </c>
      <c r="C652" s="2"/>
      <c r="D652" s="3"/>
      <c r="E652" s="40" t="s">
        <v>24</v>
      </c>
      <c r="F652" s="2"/>
      <c r="G652" s="2">
        <v>0</v>
      </c>
      <c r="H652" s="40"/>
      <c r="I652" s="2"/>
      <c r="J652" s="2">
        <v>0</v>
      </c>
      <c r="K652" s="41" t="s">
        <v>141</v>
      </c>
      <c r="L652" s="2">
        <v>0.25</v>
      </c>
      <c r="M652" s="3">
        <v>10</v>
      </c>
      <c r="N652" s="2">
        <v>0</v>
      </c>
      <c r="O652" s="2">
        <v>0</v>
      </c>
      <c r="P652" s="6">
        <v>0.02</v>
      </c>
      <c r="Q652" s="6">
        <v>8.3349999999999994E-2</v>
      </c>
      <c r="R652" s="2">
        <v>4.1675000000000002E-4</v>
      </c>
      <c r="T652" s="41">
        <v>10</v>
      </c>
      <c r="Y652" s="7"/>
      <c r="AA652" s="8"/>
      <c r="AB652" s="9"/>
      <c r="AE652" s="10"/>
      <c r="AF652" s="11"/>
      <c r="AG652"/>
    </row>
    <row r="653" spans="1:33" ht="25.5" x14ac:dyDescent="0.2">
      <c r="A653" s="39" t="s">
        <v>289</v>
      </c>
      <c r="B653" s="5" t="s">
        <v>15</v>
      </c>
      <c r="C653" s="2"/>
      <c r="D653" s="3"/>
      <c r="E653" s="40" t="s">
        <v>151</v>
      </c>
      <c r="F653" s="2"/>
      <c r="G653" s="2">
        <v>0</v>
      </c>
      <c r="H653" s="40"/>
      <c r="I653" s="2"/>
      <c r="J653" s="2">
        <v>0</v>
      </c>
      <c r="K653" s="41" t="s">
        <v>141</v>
      </c>
      <c r="L653" s="2">
        <v>8.3333329999999997E-2</v>
      </c>
      <c r="M653" s="3">
        <v>3.3333330000000001</v>
      </c>
      <c r="N653" s="2">
        <v>0</v>
      </c>
      <c r="O653" s="2">
        <v>0</v>
      </c>
      <c r="P653" s="6">
        <v>0.05</v>
      </c>
      <c r="Q653" s="6">
        <v>8.3349999999999994E-2</v>
      </c>
      <c r="R653" s="2">
        <v>3.4728E-4</v>
      </c>
      <c r="T653" s="41">
        <v>10</v>
      </c>
      <c r="Y653" s="7"/>
      <c r="AA653" s="8"/>
      <c r="AB653" s="9"/>
      <c r="AE653" s="10"/>
      <c r="AF653" s="11"/>
      <c r="AG653"/>
    </row>
    <row r="654" spans="1:33" ht="38.25" x14ac:dyDescent="0.2">
      <c r="A654" s="39" t="s">
        <v>336</v>
      </c>
      <c r="B654" s="5" t="s">
        <v>15</v>
      </c>
      <c r="C654" s="2"/>
      <c r="D654" s="3"/>
      <c r="E654" s="40" t="s">
        <v>317</v>
      </c>
      <c r="F654" s="2"/>
      <c r="G654" s="2">
        <v>0</v>
      </c>
      <c r="H654" s="40"/>
      <c r="I654" s="2"/>
      <c r="J654" s="2">
        <v>0</v>
      </c>
      <c r="K654" s="41" t="s">
        <v>115</v>
      </c>
      <c r="L654" s="2">
        <v>0.125</v>
      </c>
      <c r="M654" s="3">
        <v>7.5</v>
      </c>
      <c r="N654" s="2">
        <v>0</v>
      </c>
      <c r="O654" s="2">
        <v>0</v>
      </c>
      <c r="P654" s="6">
        <v>0.01</v>
      </c>
      <c r="Q654" s="6">
        <v>0.15</v>
      </c>
      <c r="R654" s="2">
        <v>1.875E-4</v>
      </c>
      <c r="T654" s="41">
        <v>10</v>
      </c>
      <c r="Y654" s="7"/>
      <c r="AA654" s="8"/>
      <c r="AB654" s="9"/>
      <c r="AE654" s="10"/>
      <c r="AF654" s="11"/>
      <c r="AG654"/>
    </row>
    <row r="655" spans="1:33" x14ac:dyDescent="0.2">
      <c r="A655" s="39" t="s">
        <v>291</v>
      </c>
      <c r="B655" s="5" t="s">
        <v>15</v>
      </c>
      <c r="C655" s="2"/>
      <c r="D655" s="3"/>
      <c r="E655" s="40" t="s">
        <v>24</v>
      </c>
      <c r="F655" s="2"/>
      <c r="G655" s="2">
        <v>0</v>
      </c>
      <c r="H655" s="40"/>
      <c r="I655" s="2"/>
      <c r="J655" s="2">
        <v>0</v>
      </c>
      <c r="K655" s="41" t="s">
        <v>151</v>
      </c>
      <c r="L655" s="2">
        <v>0.25</v>
      </c>
      <c r="M655" s="3">
        <v>10</v>
      </c>
      <c r="N655" s="2">
        <v>0</v>
      </c>
      <c r="O655" s="2">
        <v>0</v>
      </c>
      <c r="P655" s="6">
        <v>0.02</v>
      </c>
      <c r="Q655" s="6">
        <v>6.25E-2</v>
      </c>
      <c r="R655" s="2">
        <v>3.1250000000000001E-4</v>
      </c>
      <c r="T655" s="41">
        <v>10</v>
      </c>
      <c r="Y655" s="7"/>
      <c r="AA655" s="8"/>
      <c r="AB655" s="9"/>
      <c r="AE655" s="10"/>
      <c r="AF655" s="11"/>
      <c r="AG655"/>
    </row>
    <row r="656" spans="1:33" x14ac:dyDescent="0.2">
      <c r="A656" s="39" t="s">
        <v>291</v>
      </c>
      <c r="B656" s="5" t="s">
        <v>15</v>
      </c>
      <c r="C656" s="2"/>
      <c r="D656" s="3"/>
      <c r="E656" s="40" t="s">
        <v>151</v>
      </c>
      <c r="F656" s="2"/>
      <c r="G656" s="2">
        <v>0</v>
      </c>
      <c r="H656" s="40"/>
      <c r="I656" s="2"/>
      <c r="J656" s="2">
        <v>0</v>
      </c>
      <c r="K656" s="41" t="s">
        <v>151</v>
      </c>
      <c r="L656" s="2">
        <v>8.3333329999999997E-2</v>
      </c>
      <c r="M656" s="3">
        <v>3.3333330000000001</v>
      </c>
      <c r="N656" s="2">
        <v>0</v>
      </c>
      <c r="O656" s="2">
        <v>0</v>
      </c>
      <c r="P656" s="6">
        <v>0.05</v>
      </c>
      <c r="Q656" s="6">
        <v>6.25E-2</v>
      </c>
      <c r="R656" s="2">
        <v>2.6041999999999998E-4</v>
      </c>
      <c r="T656" s="41">
        <v>10</v>
      </c>
      <c r="Y656" s="7"/>
      <c r="AA656" s="8"/>
      <c r="AB656" s="9"/>
      <c r="AE656" s="10"/>
      <c r="AF656" s="11"/>
      <c r="AG656"/>
    </row>
    <row r="657" spans="1:33" x14ac:dyDescent="0.2">
      <c r="A657" s="39" t="s">
        <v>337</v>
      </c>
      <c r="B657" s="5" t="s">
        <v>52</v>
      </c>
      <c r="C657" s="2">
        <v>3.125E-2</v>
      </c>
      <c r="D657" s="3">
        <v>1.25</v>
      </c>
      <c r="E657" s="40" t="s">
        <v>24</v>
      </c>
      <c r="F657" s="2"/>
      <c r="G657" s="2">
        <v>0</v>
      </c>
      <c r="H657" s="40"/>
      <c r="I657" s="2">
        <v>0.82</v>
      </c>
      <c r="J657" s="2">
        <v>0.02</v>
      </c>
      <c r="K657" s="41" t="s">
        <v>30</v>
      </c>
      <c r="M657" s="3"/>
      <c r="N657" s="2">
        <v>0</v>
      </c>
      <c r="O657" s="2">
        <v>0</v>
      </c>
      <c r="P657" s="6">
        <v>0</v>
      </c>
      <c r="Q657" s="6">
        <v>0</v>
      </c>
      <c r="R657" s="2">
        <v>2.5000000000000001E-2</v>
      </c>
      <c r="T657" s="41">
        <v>10</v>
      </c>
      <c r="Y657" s="7"/>
      <c r="AA657" s="8"/>
      <c r="AB657" s="9"/>
      <c r="AE657" s="10"/>
      <c r="AF657" s="11"/>
      <c r="AG657"/>
    </row>
    <row r="658" spans="1:33" x14ac:dyDescent="0.2">
      <c r="A658" s="39" t="s">
        <v>337</v>
      </c>
      <c r="B658" s="5" t="s">
        <v>52</v>
      </c>
      <c r="C658" s="2">
        <v>9.8958299999999996E-3</v>
      </c>
      <c r="D658" s="3">
        <v>0.39583299999999999</v>
      </c>
      <c r="E658" s="40" t="s">
        <v>151</v>
      </c>
      <c r="F658" s="2"/>
      <c r="G658" s="2">
        <v>0</v>
      </c>
      <c r="H658" s="40"/>
      <c r="I658" s="2">
        <v>0.85</v>
      </c>
      <c r="J658" s="2">
        <v>0.05</v>
      </c>
      <c r="K658" s="41" t="s">
        <v>33</v>
      </c>
      <c r="M658" s="3"/>
      <c r="N658" s="2">
        <v>0</v>
      </c>
      <c r="O658" s="2">
        <v>0</v>
      </c>
      <c r="P658" s="6">
        <v>0</v>
      </c>
      <c r="Q658" s="6">
        <v>0</v>
      </c>
      <c r="R658" s="2">
        <v>7.9166600000000007E-3</v>
      </c>
      <c r="T658" s="41">
        <v>10</v>
      </c>
      <c r="Y658" s="7"/>
      <c r="AA658" s="8"/>
      <c r="AB658" s="9"/>
      <c r="AE658" s="10"/>
      <c r="AF658" s="11"/>
      <c r="AG658"/>
    </row>
    <row r="659" spans="1:33" x14ac:dyDescent="0.2">
      <c r="A659" s="39" t="s">
        <v>82</v>
      </c>
      <c r="B659" s="5" t="s">
        <v>52</v>
      </c>
      <c r="C659" s="2">
        <v>3.125E-2</v>
      </c>
      <c r="D659" s="3">
        <v>1.25</v>
      </c>
      <c r="E659" s="40" t="s">
        <v>24</v>
      </c>
      <c r="F659" s="2"/>
      <c r="G659" s="2">
        <v>0</v>
      </c>
      <c r="H659" s="40"/>
      <c r="I659" s="2">
        <v>0.82</v>
      </c>
      <c r="J659" s="2">
        <v>3.5000000000000003E-2</v>
      </c>
      <c r="K659" s="41" t="s">
        <v>293</v>
      </c>
      <c r="M659" s="3"/>
      <c r="N659" s="2">
        <v>0</v>
      </c>
      <c r="O659" s="2">
        <v>0</v>
      </c>
      <c r="P659" s="6">
        <v>0</v>
      </c>
      <c r="Q659" s="6">
        <v>0</v>
      </c>
      <c r="R659" s="2">
        <v>2.4531250000000001E-2</v>
      </c>
      <c r="T659" s="41">
        <v>10</v>
      </c>
      <c r="Y659" s="7"/>
      <c r="AA659" s="8"/>
      <c r="AB659" s="9"/>
      <c r="AE659" s="10"/>
      <c r="AF659" s="11"/>
      <c r="AG659"/>
    </row>
    <row r="660" spans="1:33" x14ac:dyDescent="0.2">
      <c r="A660" s="39" t="s">
        <v>82</v>
      </c>
      <c r="B660" s="5" t="s">
        <v>52</v>
      </c>
      <c r="C660" s="2">
        <v>0.1875</v>
      </c>
      <c r="D660" s="3">
        <v>7.5</v>
      </c>
      <c r="E660" s="40" t="s">
        <v>24</v>
      </c>
      <c r="F660" s="2"/>
      <c r="G660" s="2">
        <v>0</v>
      </c>
      <c r="H660" s="40"/>
      <c r="I660" s="2">
        <v>0.82</v>
      </c>
      <c r="J660" s="2">
        <v>0.02</v>
      </c>
      <c r="K660" s="41" t="s">
        <v>30</v>
      </c>
      <c r="M660" s="3"/>
      <c r="N660" s="2">
        <v>0</v>
      </c>
      <c r="O660" s="2">
        <v>0</v>
      </c>
      <c r="P660" s="6">
        <v>0</v>
      </c>
      <c r="Q660" s="6">
        <v>0</v>
      </c>
      <c r="R660" s="2">
        <v>0.15</v>
      </c>
      <c r="T660" s="41">
        <v>10</v>
      </c>
      <c r="Y660" s="7"/>
      <c r="AA660" s="8"/>
      <c r="AB660" s="9"/>
      <c r="AE660" s="10"/>
      <c r="AF660" s="11"/>
      <c r="AG660"/>
    </row>
    <row r="661" spans="1:33" x14ac:dyDescent="0.2">
      <c r="A661" s="39" t="s">
        <v>82</v>
      </c>
      <c r="B661" s="5" t="s">
        <v>52</v>
      </c>
      <c r="C661" s="2">
        <v>5.9374999999999997E-2</v>
      </c>
      <c r="D661" s="3">
        <v>2.375</v>
      </c>
      <c r="E661" s="40" t="s">
        <v>151</v>
      </c>
      <c r="F661" s="2"/>
      <c r="G661" s="2">
        <v>0</v>
      </c>
      <c r="H661" s="40"/>
      <c r="I661" s="2">
        <v>0.85</v>
      </c>
      <c r="J661" s="2">
        <v>0.05</v>
      </c>
      <c r="K661" s="41" t="s">
        <v>33</v>
      </c>
      <c r="M661" s="3"/>
      <c r="N661" s="2">
        <v>0</v>
      </c>
      <c r="O661" s="2">
        <v>0</v>
      </c>
      <c r="P661" s="6">
        <v>0</v>
      </c>
      <c r="Q661" s="6">
        <v>0</v>
      </c>
      <c r="R661" s="2">
        <v>4.7500000000000001E-2</v>
      </c>
      <c r="T661" s="41">
        <v>10</v>
      </c>
      <c r="Y661" s="7"/>
      <c r="AA661" s="8"/>
      <c r="AB661" s="9"/>
      <c r="AE661" s="10"/>
      <c r="AF661" s="11"/>
      <c r="AG661"/>
    </row>
    <row r="662" spans="1:33" x14ac:dyDescent="0.2">
      <c r="A662" s="39" t="s">
        <v>82</v>
      </c>
      <c r="B662" s="5" t="s">
        <v>52</v>
      </c>
      <c r="C662" s="2">
        <v>4.1666699999999999E-3</v>
      </c>
      <c r="D662" s="3">
        <v>0.16666666999999999</v>
      </c>
      <c r="E662" s="40" t="s">
        <v>151</v>
      </c>
      <c r="F662" s="2"/>
      <c r="G662" s="2">
        <v>0</v>
      </c>
      <c r="H662" s="40"/>
      <c r="I662" s="2">
        <v>0.85</v>
      </c>
      <c r="J662" s="2">
        <v>0.05</v>
      </c>
      <c r="K662" s="41" t="s">
        <v>367</v>
      </c>
      <c r="M662" s="3"/>
      <c r="N662" s="2">
        <v>0</v>
      </c>
      <c r="O662" s="2">
        <v>0</v>
      </c>
      <c r="P662" s="6">
        <v>0</v>
      </c>
      <c r="Q662" s="6">
        <v>0</v>
      </c>
      <c r="R662" s="2">
        <v>3.3333400000000002E-3</v>
      </c>
      <c r="T662" s="41">
        <v>10</v>
      </c>
      <c r="Y662" s="7"/>
      <c r="AA662" s="8"/>
      <c r="AB662" s="9"/>
      <c r="AE662" s="10"/>
      <c r="AF662" s="11"/>
      <c r="AG662"/>
    </row>
    <row r="663" spans="1:33" x14ac:dyDescent="0.2">
      <c r="A663" s="39" t="s">
        <v>82</v>
      </c>
      <c r="B663" s="5" t="s">
        <v>52</v>
      </c>
      <c r="C663" s="2">
        <v>9.8958299999999996E-3</v>
      </c>
      <c r="D663" s="3">
        <v>0.39583299999999999</v>
      </c>
      <c r="E663" s="40" t="s">
        <v>151</v>
      </c>
      <c r="F663" s="2"/>
      <c r="G663" s="2">
        <v>0</v>
      </c>
      <c r="H663" s="40"/>
      <c r="I663" s="2">
        <v>0.85</v>
      </c>
      <c r="J663" s="2">
        <v>6.5000000000000002E-2</v>
      </c>
      <c r="K663" s="41" t="s">
        <v>368</v>
      </c>
      <c r="M663" s="3"/>
      <c r="N663" s="2">
        <v>0</v>
      </c>
      <c r="O663" s="2">
        <v>0</v>
      </c>
      <c r="P663" s="6">
        <v>0</v>
      </c>
      <c r="Q663" s="6">
        <v>0</v>
      </c>
      <c r="R663" s="2">
        <v>7.7682300000000001E-3</v>
      </c>
      <c r="T663" s="41">
        <v>10</v>
      </c>
      <c r="Y663" s="7"/>
      <c r="AA663" s="8"/>
      <c r="AB663" s="9"/>
      <c r="AE663" s="10"/>
      <c r="AF663" s="11"/>
      <c r="AG663"/>
    </row>
    <row r="664" spans="1:33" x14ac:dyDescent="0.2">
      <c r="A664" s="39" t="s">
        <v>316</v>
      </c>
      <c r="B664" s="5" t="s">
        <v>52</v>
      </c>
      <c r="C664" s="2">
        <v>0.125</v>
      </c>
      <c r="D664" s="3">
        <v>5</v>
      </c>
      <c r="E664" s="40" t="s">
        <v>317</v>
      </c>
      <c r="F664" s="2"/>
      <c r="G664" s="2">
        <v>0</v>
      </c>
      <c r="H664" s="40"/>
      <c r="I664" s="2">
        <v>0.85</v>
      </c>
      <c r="J664" s="2">
        <v>0.03</v>
      </c>
      <c r="K664" s="41"/>
      <c r="M664" s="3"/>
      <c r="N664" s="2">
        <v>0</v>
      </c>
      <c r="O664" s="2">
        <v>0</v>
      </c>
      <c r="P664" s="6">
        <v>0</v>
      </c>
      <c r="Q664" s="6">
        <v>0</v>
      </c>
      <c r="R664" s="2">
        <v>0.10249999999999999</v>
      </c>
      <c r="T664" s="41">
        <v>10</v>
      </c>
      <c r="Y664" s="7"/>
      <c r="AA664" s="8"/>
      <c r="AB664" s="9"/>
      <c r="AE664" s="10"/>
      <c r="AF664" s="11"/>
      <c r="AG664"/>
    </row>
    <row r="665" spans="1:33" x14ac:dyDescent="0.2">
      <c r="A665" s="39" t="s">
        <v>343</v>
      </c>
      <c r="B665" s="5" t="s">
        <v>52</v>
      </c>
      <c r="C665" s="2">
        <v>0.54166667000000002</v>
      </c>
      <c r="D665" s="3">
        <v>21.666667</v>
      </c>
      <c r="E665" s="40" t="s">
        <v>325</v>
      </c>
      <c r="F665" s="2"/>
      <c r="G665" s="2">
        <v>0</v>
      </c>
      <c r="H665" s="40"/>
      <c r="I665" s="2">
        <v>0.8125</v>
      </c>
      <c r="J665" s="2">
        <v>5.0000000000000001E-3</v>
      </c>
      <c r="K665" s="41" t="s">
        <v>344</v>
      </c>
      <c r="M665" s="3"/>
      <c r="N665" s="2">
        <v>0</v>
      </c>
      <c r="O665" s="2">
        <v>0</v>
      </c>
      <c r="P665" s="6">
        <v>0</v>
      </c>
      <c r="Q665" s="6">
        <v>0</v>
      </c>
      <c r="R665" s="2">
        <v>0.43739582999999999</v>
      </c>
      <c r="T665" s="41">
        <v>10</v>
      </c>
      <c r="Y665" s="7"/>
      <c r="AA665" s="8"/>
      <c r="AB665" s="9"/>
      <c r="AE665" s="10"/>
      <c r="AF665" s="11"/>
      <c r="AG665"/>
    </row>
    <row r="666" spans="1:33" x14ac:dyDescent="0.2">
      <c r="A666" s="39" t="s">
        <v>237</v>
      </c>
      <c r="B666" s="5" t="s">
        <v>21</v>
      </c>
      <c r="C666" s="2">
        <v>4.739583E-2</v>
      </c>
      <c r="D666" s="3">
        <v>7.5833329999999997</v>
      </c>
      <c r="E666" s="40" t="s">
        <v>369</v>
      </c>
      <c r="F666" s="2">
        <v>0.1875</v>
      </c>
      <c r="G666" s="2">
        <v>0</v>
      </c>
      <c r="H666" s="40"/>
      <c r="I666" s="2"/>
      <c r="J666" s="2">
        <v>0</v>
      </c>
      <c r="K666" s="41"/>
      <c r="M666" s="3"/>
      <c r="N666" s="2">
        <v>0</v>
      </c>
      <c r="O666" s="2">
        <v>0</v>
      </c>
      <c r="P666" s="6">
        <v>0</v>
      </c>
      <c r="Q666" s="6">
        <v>0</v>
      </c>
      <c r="R666" s="2">
        <v>8.8867200000000007E-3</v>
      </c>
      <c r="T666" s="41">
        <v>11</v>
      </c>
      <c r="Y666" s="7"/>
      <c r="AA666" s="8"/>
      <c r="AB666" s="9"/>
      <c r="AE666" s="10"/>
      <c r="AF666" s="11"/>
      <c r="AG666"/>
    </row>
    <row r="667" spans="1:33" x14ac:dyDescent="0.2">
      <c r="A667" s="39" t="s">
        <v>370</v>
      </c>
      <c r="B667" s="5" t="s">
        <v>21</v>
      </c>
      <c r="C667" s="2">
        <v>0.109375</v>
      </c>
      <c r="D667" s="3">
        <v>17.5</v>
      </c>
      <c r="E667" s="40" t="s">
        <v>371</v>
      </c>
      <c r="F667" s="2">
        <v>0.1875</v>
      </c>
      <c r="G667" s="2">
        <v>0</v>
      </c>
      <c r="H667" s="40"/>
      <c r="I667" s="2"/>
      <c r="J667" s="2">
        <v>0</v>
      </c>
      <c r="K667" s="41"/>
      <c r="M667" s="3"/>
      <c r="N667" s="2">
        <v>0</v>
      </c>
      <c r="O667" s="2">
        <v>0</v>
      </c>
      <c r="P667" s="6">
        <v>0</v>
      </c>
      <c r="Q667" s="6">
        <v>0</v>
      </c>
      <c r="R667" s="2">
        <v>2.0507810000000001E-2</v>
      </c>
      <c r="T667" s="41">
        <v>11</v>
      </c>
      <c r="Y667" s="7"/>
      <c r="AA667" s="8"/>
      <c r="AB667" s="9"/>
      <c r="AE667" s="10"/>
      <c r="AF667" s="11"/>
      <c r="AG667"/>
    </row>
    <row r="668" spans="1:33" x14ac:dyDescent="0.2">
      <c r="A668" s="39" t="s">
        <v>372</v>
      </c>
      <c r="B668" s="5" t="s">
        <v>21</v>
      </c>
      <c r="C668" s="2">
        <v>0.109375</v>
      </c>
      <c r="D668" s="3">
        <v>17.5</v>
      </c>
      <c r="E668" s="40" t="s">
        <v>371</v>
      </c>
      <c r="F668" s="2">
        <v>0.1875</v>
      </c>
      <c r="G668" s="2">
        <v>0</v>
      </c>
      <c r="H668" s="40"/>
      <c r="I668" s="2"/>
      <c r="J668" s="2">
        <v>0</v>
      </c>
      <c r="K668" s="41"/>
      <c r="M668" s="3"/>
      <c r="N668" s="2">
        <v>0</v>
      </c>
      <c r="O668" s="2">
        <v>0</v>
      </c>
      <c r="P668" s="6">
        <v>0</v>
      </c>
      <c r="Q668" s="6">
        <v>0</v>
      </c>
      <c r="R668" s="2">
        <v>2.0507810000000001E-2</v>
      </c>
      <c r="T668" s="41">
        <v>11</v>
      </c>
      <c r="Y668" s="7"/>
      <c r="AA668" s="8"/>
      <c r="AB668" s="9"/>
      <c r="AE668" s="10"/>
      <c r="AF668" s="11"/>
      <c r="AG668"/>
    </row>
    <row r="669" spans="1:33" x14ac:dyDescent="0.2">
      <c r="A669" s="39" t="s">
        <v>373</v>
      </c>
      <c r="B669" s="5" t="s">
        <v>21</v>
      </c>
      <c r="C669" s="2">
        <v>7.2916670000000003E-2</v>
      </c>
      <c r="D669" s="3">
        <v>11.666667</v>
      </c>
      <c r="E669" s="40" t="s">
        <v>136</v>
      </c>
      <c r="F669" s="2">
        <v>0.1875</v>
      </c>
      <c r="G669" s="2">
        <v>0</v>
      </c>
      <c r="H669" s="40"/>
      <c r="I669" s="2"/>
      <c r="J669" s="2">
        <v>0</v>
      </c>
      <c r="K669" s="41"/>
      <c r="M669" s="3"/>
      <c r="N669" s="2">
        <v>0</v>
      </c>
      <c r="O669" s="2">
        <v>0</v>
      </c>
      <c r="P669" s="6">
        <v>0</v>
      </c>
      <c r="Q669" s="6">
        <v>0</v>
      </c>
      <c r="R669" s="2">
        <v>1.3671880000000001E-2</v>
      </c>
      <c r="T669" s="41">
        <v>11</v>
      </c>
      <c r="Y669" s="7"/>
      <c r="AA669" s="8"/>
      <c r="AB669" s="9"/>
      <c r="AE669" s="10"/>
      <c r="AF669" s="11"/>
      <c r="AG669"/>
    </row>
    <row r="670" spans="1:33" x14ac:dyDescent="0.2">
      <c r="A670" s="39" t="s">
        <v>50</v>
      </c>
      <c r="B670" s="5" t="s">
        <v>21</v>
      </c>
      <c r="C670" s="2">
        <v>0.1203125</v>
      </c>
      <c r="D670" s="3">
        <v>19.25</v>
      </c>
      <c r="E670" s="40" t="s">
        <v>374</v>
      </c>
      <c r="F670" s="2">
        <v>0.1875</v>
      </c>
      <c r="G670" s="2">
        <v>0</v>
      </c>
      <c r="H670" s="40"/>
      <c r="I670" s="2"/>
      <c r="J670" s="2">
        <v>0</v>
      </c>
      <c r="K670" s="41"/>
      <c r="M670" s="3"/>
      <c r="N670" s="2">
        <v>0</v>
      </c>
      <c r="O670" s="2">
        <v>0</v>
      </c>
      <c r="P670" s="6">
        <v>0</v>
      </c>
      <c r="Q670" s="6">
        <v>0</v>
      </c>
      <c r="R670" s="2">
        <v>2.255859E-2</v>
      </c>
      <c r="T670" s="41">
        <v>11</v>
      </c>
      <c r="Y670" s="7"/>
      <c r="AA670" s="8"/>
      <c r="AB670" s="9"/>
      <c r="AE670" s="10"/>
      <c r="AF670" s="11"/>
      <c r="AG670"/>
    </row>
    <row r="671" spans="1:33" x14ac:dyDescent="0.2">
      <c r="A671" s="39" t="s">
        <v>71</v>
      </c>
      <c r="B671" s="5" t="s">
        <v>21</v>
      </c>
      <c r="C671" s="2">
        <v>2.9166669999999999E-2</v>
      </c>
      <c r="D671" s="3">
        <v>4.6666670000000003</v>
      </c>
      <c r="E671" s="40" t="s">
        <v>141</v>
      </c>
      <c r="F671" s="2">
        <v>0.16666666999999999</v>
      </c>
      <c r="G671" s="2">
        <v>0</v>
      </c>
      <c r="H671" s="40"/>
      <c r="I671" s="2"/>
      <c r="J671" s="2">
        <v>0</v>
      </c>
      <c r="K671" s="41"/>
      <c r="M671" s="3"/>
      <c r="N671" s="2">
        <v>0</v>
      </c>
      <c r="O671" s="2">
        <v>0</v>
      </c>
      <c r="P671" s="6">
        <v>0</v>
      </c>
      <c r="Q671" s="6">
        <v>0</v>
      </c>
      <c r="R671" s="2">
        <v>4.8611100000000001E-3</v>
      </c>
      <c r="T671" s="41">
        <v>11</v>
      </c>
      <c r="Y671" s="7"/>
      <c r="AA671" s="8"/>
      <c r="AB671" s="9"/>
      <c r="AE671" s="10"/>
      <c r="AF671" s="11"/>
      <c r="AG671"/>
    </row>
    <row r="672" spans="1:33" x14ac:dyDescent="0.2">
      <c r="A672" s="39" t="s">
        <v>78</v>
      </c>
      <c r="B672" s="5" t="s">
        <v>21</v>
      </c>
      <c r="C672" s="2">
        <v>2.291667E-2</v>
      </c>
      <c r="D672" s="3">
        <v>3.6666669999999999</v>
      </c>
      <c r="E672" s="40" t="s">
        <v>141</v>
      </c>
      <c r="F672" s="2">
        <v>0.16666666999999999</v>
      </c>
      <c r="G672" s="2">
        <v>0</v>
      </c>
      <c r="H672" s="40"/>
      <c r="I672" s="2"/>
      <c r="J672" s="2">
        <v>0</v>
      </c>
      <c r="K672" s="41"/>
      <c r="M672" s="3"/>
      <c r="N672" s="2">
        <v>0</v>
      </c>
      <c r="O672" s="2">
        <v>0</v>
      </c>
      <c r="P672" s="6">
        <v>0</v>
      </c>
      <c r="Q672" s="6">
        <v>0</v>
      </c>
      <c r="R672" s="2">
        <v>3.8194499999999998E-3</v>
      </c>
      <c r="T672" s="41">
        <v>11</v>
      </c>
      <c r="Y672" s="7"/>
      <c r="AA672" s="8"/>
      <c r="AB672" s="9"/>
      <c r="AE672" s="10"/>
      <c r="AF672" s="11"/>
      <c r="AG672"/>
    </row>
    <row r="673" spans="1:33" x14ac:dyDescent="0.2">
      <c r="A673" s="39" t="s">
        <v>89</v>
      </c>
      <c r="B673" s="5" t="s">
        <v>21</v>
      </c>
      <c r="C673" s="2">
        <v>1.1458329999999999E-2</v>
      </c>
      <c r="D673" s="3">
        <v>1.8333330000000001</v>
      </c>
      <c r="E673" s="40" t="s">
        <v>375</v>
      </c>
      <c r="F673" s="2">
        <v>0.16666666999999999</v>
      </c>
      <c r="G673" s="2">
        <v>0</v>
      </c>
      <c r="H673" s="40"/>
      <c r="I673" s="2"/>
      <c r="J673" s="2">
        <v>0</v>
      </c>
      <c r="K673" s="41"/>
      <c r="M673" s="3"/>
      <c r="N673" s="2">
        <v>0</v>
      </c>
      <c r="O673" s="2">
        <v>0</v>
      </c>
      <c r="P673" s="6">
        <v>0</v>
      </c>
      <c r="Q673" s="6">
        <v>0</v>
      </c>
      <c r="R673" s="2">
        <v>1.90972E-3</v>
      </c>
      <c r="T673" s="41">
        <v>11</v>
      </c>
      <c r="Y673" s="7"/>
      <c r="AA673" s="8"/>
      <c r="AB673" s="9"/>
      <c r="AE673" s="10"/>
      <c r="AF673" s="11"/>
      <c r="AG673"/>
    </row>
    <row r="674" spans="1:33" x14ac:dyDescent="0.2">
      <c r="A674" s="39" t="s">
        <v>252</v>
      </c>
      <c r="B674" s="5" t="s">
        <v>21</v>
      </c>
      <c r="C674" s="2">
        <v>1.8229169999999999E-2</v>
      </c>
      <c r="D674" s="3">
        <v>2.9166669999999999</v>
      </c>
      <c r="E674" s="40" t="s">
        <v>376</v>
      </c>
      <c r="F674" s="2">
        <v>0.1875</v>
      </c>
      <c r="G674" s="2">
        <v>0</v>
      </c>
      <c r="H674" s="40"/>
      <c r="I674" s="2"/>
      <c r="J674" s="2">
        <v>0</v>
      </c>
      <c r="K674" s="41"/>
      <c r="M674" s="3"/>
      <c r="N674" s="2">
        <v>0</v>
      </c>
      <c r="O674" s="2">
        <v>0</v>
      </c>
      <c r="P674" s="6">
        <v>0</v>
      </c>
      <c r="Q674" s="6">
        <v>0</v>
      </c>
      <c r="R674" s="2">
        <v>3.4179700000000002E-3</v>
      </c>
      <c r="T674" s="41">
        <v>11</v>
      </c>
      <c r="Y674" s="7"/>
      <c r="AA674" s="8"/>
      <c r="AB674" s="9"/>
      <c r="AE674" s="10"/>
      <c r="AF674" s="11"/>
      <c r="AG674"/>
    </row>
    <row r="675" spans="1:33" x14ac:dyDescent="0.2">
      <c r="A675" s="39" t="s">
        <v>377</v>
      </c>
      <c r="B675" s="5" t="s">
        <v>21</v>
      </c>
      <c r="C675" s="2">
        <v>1.8229169999999999E-2</v>
      </c>
      <c r="D675" s="3">
        <v>2.9166669999999999</v>
      </c>
      <c r="E675" s="40" t="s">
        <v>378</v>
      </c>
      <c r="F675" s="2">
        <v>0.1875</v>
      </c>
      <c r="G675" s="2">
        <v>0</v>
      </c>
      <c r="H675" s="40"/>
      <c r="I675" s="2"/>
      <c r="J675" s="2">
        <v>0</v>
      </c>
      <c r="K675" s="41"/>
      <c r="M675" s="3"/>
      <c r="N675" s="2">
        <v>0</v>
      </c>
      <c r="O675" s="2">
        <v>0</v>
      </c>
      <c r="P675" s="6">
        <v>0</v>
      </c>
      <c r="Q675" s="6">
        <v>0</v>
      </c>
      <c r="R675" s="2">
        <v>3.4179700000000002E-3</v>
      </c>
      <c r="T675" s="41">
        <v>11</v>
      </c>
      <c r="Y675" s="7"/>
      <c r="AA675" s="8"/>
      <c r="AB675" s="9"/>
      <c r="AE675" s="10"/>
      <c r="AF675" s="11"/>
      <c r="AG675"/>
    </row>
    <row r="676" spans="1:33" x14ac:dyDescent="0.2">
      <c r="A676" s="39" t="s">
        <v>104</v>
      </c>
      <c r="B676" s="5" t="s">
        <v>21</v>
      </c>
      <c r="C676" s="2">
        <v>1.1458329999999999E-2</v>
      </c>
      <c r="D676" s="3">
        <v>1.8333330000000001</v>
      </c>
      <c r="E676" s="40" t="s">
        <v>375</v>
      </c>
      <c r="F676" s="2">
        <v>0.16666666999999999</v>
      </c>
      <c r="G676" s="2">
        <v>0</v>
      </c>
      <c r="H676" s="40"/>
      <c r="I676" s="2"/>
      <c r="J676" s="2">
        <v>0</v>
      </c>
      <c r="K676" s="41"/>
      <c r="M676" s="3"/>
      <c r="N676" s="2">
        <v>0</v>
      </c>
      <c r="O676" s="2">
        <v>0</v>
      </c>
      <c r="P676" s="6">
        <v>0</v>
      </c>
      <c r="Q676" s="6">
        <v>0</v>
      </c>
      <c r="R676" s="2">
        <v>1.90972E-3</v>
      </c>
      <c r="T676" s="41">
        <v>11</v>
      </c>
      <c r="Y676" s="7"/>
      <c r="AA676" s="8"/>
      <c r="AB676" s="9"/>
      <c r="AE676" s="10"/>
      <c r="AF676" s="11"/>
      <c r="AG676"/>
    </row>
    <row r="677" spans="1:33" x14ac:dyDescent="0.2">
      <c r="A677" s="39" t="s">
        <v>255</v>
      </c>
      <c r="B677" s="5" t="s">
        <v>21</v>
      </c>
      <c r="C677" s="2">
        <v>1.8229160000000001E-2</v>
      </c>
      <c r="D677" s="3">
        <v>2.9166660000000002</v>
      </c>
      <c r="E677" s="40" t="s">
        <v>379</v>
      </c>
      <c r="F677" s="2">
        <v>0.1875</v>
      </c>
      <c r="G677" s="2">
        <v>0</v>
      </c>
      <c r="H677" s="40"/>
      <c r="I677" s="2"/>
      <c r="J677" s="2">
        <v>0</v>
      </c>
      <c r="K677" s="41"/>
      <c r="M677" s="3"/>
      <c r="N677" s="2">
        <v>0</v>
      </c>
      <c r="O677" s="2">
        <v>0</v>
      </c>
      <c r="P677" s="6">
        <v>0</v>
      </c>
      <c r="Q677" s="6">
        <v>0</v>
      </c>
      <c r="R677" s="2">
        <v>3.4179700000000002E-3</v>
      </c>
      <c r="T677" s="41">
        <v>11</v>
      </c>
      <c r="Y677" s="7"/>
      <c r="AA677" s="8"/>
      <c r="AB677" s="9"/>
      <c r="AE677" s="10"/>
      <c r="AF677" s="11"/>
      <c r="AG677"/>
    </row>
    <row r="678" spans="1:33" x14ac:dyDescent="0.2">
      <c r="A678" s="39" t="s">
        <v>380</v>
      </c>
      <c r="B678" s="5" t="s">
        <v>21</v>
      </c>
      <c r="C678" s="2">
        <v>0.21875</v>
      </c>
      <c r="D678" s="3">
        <v>35</v>
      </c>
      <c r="E678" s="40" t="s">
        <v>381</v>
      </c>
      <c r="F678" s="2">
        <v>0.1875</v>
      </c>
      <c r="G678" s="2">
        <v>0</v>
      </c>
      <c r="H678" s="40"/>
      <c r="I678" s="2"/>
      <c r="J678" s="2">
        <v>0</v>
      </c>
      <c r="K678" s="41"/>
      <c r="M678" s="3"/>
      <c r="N678" s="2">
        <v>0</v>
      </c>
      <c r="O678" s="2">
        <v>0</v>
      </c>
      <c r="P678" s="6">
        <v>0</v>
      </c>
      <c r="Q678" s="6">
        <v>0</v>
      </c>
      <c r="R678" s="2">
        <v>4.1015629999999997E-2</v>
      </c>
      <c r="T678" s="41">
        <v>11</v>
      </c>
      <c r="Y678" s="7"/>
      <c r="AA678" s="8"/>
      <c r="AB678" s="9"/>
      <c r="AE678" s="10"/>
      <c r="AF678" s="11"/>
      <c r="AG678"/>
    </row>
    <row r="679" spans="1:33" x14ac:dyDescent="0.2">
      <c r="A679" s="39" t="s">
        <v>380</v>
      </c>
      <c r="B679" s="5" t="s">
        <v>21</v>
      </c>
      <c r="C679" s="2">
        <v>2.5000000000000001E-2</v>
      </c>
      <c r="D679" s="3">
        <v>4</v>
      </c>
      <c r="E679" s="40" t="s">
        <v>65</v>
      </c>
      <c r="F679" s="2">
        <v>0.17</v>
      </c>
      <c r="G679" s="2">
        <v>0</v>
      </c>
      <c r="H679" s="40"/>
      <c r="I679" s="2"/>
      <c r="J679" s="2">
        <v>0</v>
      </c>
      <c r="K679" s="41"/>
      <c r="M679" s="3"/>
      <c r="N679" s="2">
        <v>0</v>
      </c>
      <c r="O679" s="2">
        <v>0</v>
      </c>
      <c r="P679" s="6">
        <v>0</v>
      </c>
      <c r="Q679" s="6">
        <v>0</v>
      </c>
      <c r="R679" s="2">
        <v>4.2500000000000003E-3</v>
      </c>
      <c r="T679" s="41">
        <v>11</v>
      </c>
      <c r="Y679" s="7"/>
      <c r="AA679" s="8"/>
      <c r="AB679" s="9"/>
      <c r="AE679" s="10"/>
      <c r="AF679" s="11"/>
      <c r="AG679"/>
    </row>
    <row r="680" spans="1:33" x14ac:dyDescent="0.2">
      <c r="A680" s="39" t="s">
        <v>382</v>
      </c>
      <c r="B680" s="5" t="s">
        <v>21</v>
      </c>
      <c r="C680" s="2">
        <v>0.1203125</v>
      </c>
      <c r="D680" s="3">
        <v>19.25</v>
      </c>
      <c r="E680" s="40" t="s">
        <v>383</v>
      </c>
      <c r="F680" s="2">
        <v>0.1875</v>
      </c>
      <c r="G680" s="2">
        <v>0</v>
      </c>
      <c r="H680" s="40"/>
      <c r="I680" s="2"/>
      <c r="J680" s="2">
        <v>0</v>
      </c>
      <c r="K680" s="41"/>
      <c r="M680" s="3"/>
      <c r="N680" s="2">
        <v>0</v>
      </c>
      <c r="O680" s="2">
        <v>0</v>
      </c>
      <c r="P680" s="6">
        <v>0</v>
      </c>
      <c r="Q680" s="6">
        <v>0</v>
      </c>
      <c r="R680" s="2">
        <v>2.255859E-2</v>
      </c>
      <c r="T680" s="41">
        <v>11</v>
      </c>
      <c r="Y680" s="7"/>
      <c r="AA680" s="8"/>
      <c r="AB680" s="9"/>
      <c r="AE680" s="10"/>
      <c r="AF680" s="11"/>
      <c r="AG680"/>
    </row>
    <row r="681" spans="1:33" x14ac:dyDescent="0.2">
      <c r="A681" s="39" t="s">
        <v>384</v>
      </c>
      <c r="B681" s="5" t="s">
        <v>21</v>
      </c>
      <c r="C681" s="2">
        <v>2.1874999999999999E-2</v>
      </c>
      <c r="D681" s="3">
        <v>3.5</v>
      </c>
      <c r="E681" s="40" t="s">
        <v>385</v>
      </c>
      <c r="F681" s="2">
        <v>0.1875</v>
      </c>
      <c r="G681" s="2">
        <v>0</v>
      </c>
      <c r="H681" s="40"/>
      <c r="I681" s="2"/>
      <c r="J681" s="2">
        <v>0</v>
      </c>
      <c r="K681" s="41"/>
      <c r="M681" s="3"/>
      <c r="N681" s="2">
        <v>0</v>
      </c>
      <c r="O681" s="2">
        <v>0</v>
      </c>
      <c r="P681" s="6">
        <v>0</v>
      </c>
      <c r="Q681" s="6">
        <v>0</v>
      </c>
      <c r="R681" s="2">
        <v>4.1015599999999998E-3</v>
      </c>
      <c r="T681" s="41">
        <v>11</v>
      </c>
      <c r="Y681" s="7"/>
      <c r="AA681" s="8"/>
      <c r="AB681" s="9"/>
      <c r="AE681" s="10"/>
      <c r="AF681" s="11"/>
      <c r="AG681"/>
    </row>
    <row r="682" spans="1:33" ht="25.5" x14ac:dyDescent="0.2">
      <c r="A682" s="39" t="s">
        <v>386</v>
      </c>
      <c r="B682" s="5" t="s">
        <v>21</v>
      </c>
      <c r="C682" s="2">
        <v>2.5000000000000001E-2</v>
      </c>
      <c r="D682" s="3">
        <v>4</v>
      </c>
      <c r="E682" s="40" t="s">
        <v>387</v>
      </c>
      <c r="F682" s="2">
        <v>0.17</v>
      </c>
      <c r="G682" s="2">
        <v>0</v>
      </c>
      <c r="H682" s="40"/>
      <c r="I682" s="2"/>
      <c r="J682" s="2">
        <v>0</v>
      </c>
      <c r="K682" s="41"/>
      <c r="M682" s="3"/>
      <c r="N682" s="2">
        <v>0</v>
      </c>
      <c r="O682" s="2">
        <v>0</v>
      </c>
      <c r="P682" s="6">
        <v>0</v>
      </c>
      <c r="Q682" s="6">
        <v>0</v>
      </c>
      <c r="R682" s="2">
        <v>4.2500000000000003E-3</v>
      </c>
      <c r="T682" s="41">
        <v>11</v>
      </c>
      <c r="Y682" s="7"/>
      <c r="AA682" s="8"/>
      <c r="AB682" s="9"/>
      <c r="AE682" s="10"/>
      <c r="AF682" s="11"/>
      <c r="AG682"/>
    </row>
    <row r="683" spans="1:33" x14ac:dyDescent="0.2">
      <c r="A683" s="39" t="s">
        <v>119</v>
      </c>
      <c r="B683" s="5" t="s">
        <v>13</v>
      </c>
      <c r="C683" s="2"/>
      <c r="D683" s="3"/>
      <c r="E683" s="40"/>
      <c r="F683" s="2"/>
      <c r="G683" s="2">
        <v>0</v>
      </c>
      <c r="H683" s="40"/>
      <c r="I683" s="2"/>
      <c r="J683" s="2">
        <v>0</v>
      </c>
      <c r="K683" s="41"/>
      <c r="M683" s="3">
        <v>0</v>
      </c>
      <c r="N683" s="2">
        <v>0</v>
      </c>
      <c r="O683" s="2">
        <v>0</v>
      </c>
      <c r="P683" s="6">
        <v>0</v>
      </c>
      <c r="Q683" s="6">
        <v>0</v>
      </c>
      <c r="R683" s="2">
        <v>0</v>
      </c>
      <c r="T683" s="41">
        <v>11</v>
      </c>
      <c r="Y683" s="7"/>
      <c r="AA683" s="8"/>
      <c r="AB683" s="9"/>
      <c r="AE683" s="10"/>
      <c r="AF683" s="11"/>
      <c r="AG683"/>
    </row>
    <row r="684" spans="1:33" x14ac:dyDescent="0.2">
      <c r="A684" s="39" t="s">
        <v>388</v>
      </c>
      <c r="B684" s="5" t="s">
        <v>15</v>
      </c>
      <c r="C684" s="2"/>
      <c r="D684" s="3"/>
      <c r="E684" s="40"/>
      <c r="F684" s="2"/>
      <c r="G684" s="2">
        <v>0</v>
      </c>
      <c r="H684" s="40"/>
      <c r="I684" s="2"/>
      <c r="J684" s="2">
        <v>0</v>
      </c>
      <c r="K684" s="41"/>
      <c r="M684" s="3">
        <v>0</v>
      </c>
      <c r="N684" s="2">
        <v>0</v>
      </c>
      <c r="O684" s="2">
        <v>0</v>
      </c>
      <c r="P684" s="6">
        <v>0</v>
      </c>
      <c r="Q684" s="6">
        <v>0</v>
      </c>
      <c r="R684" s="2">
        <v>0</v>
      </c>
      <c r="T684" s="41">
        <v>11</v>
      </c>
      <c r="Y684" s="7"/>
      <c r="AA684" s="8"/>
      <c r="AB684" s="9"/>
      <c r="AE684" s="10"/>
      <c r="AF684" s="11"/>
      <c r="AG684"/>
    </row>
    <row r="685" spans="1:33" x14ac:dyDescent="0.2">
      <c r="A685" s="39" t="s">
        <v>389</v>
      </c>
      <c r="B685" s="5" t="s">
        <v>52</v>
      </c>
      <c r="C685" s="2">
        <v>0.875</v>
      </c>
      <c r="D685" s="3">
        <v>140</v>
      </c>
      <c r="E685" s="40" t="s">
        <v>390</v>
      </c>
      <c r="F685" s="2"/>
      <c r="G685" s="2">
        <v>0</v>
      </c>
      <c r="H685" s="40"/>
      <c r="I685" s="2">
        <v>0.8125</v>
      </c>
      <c r="J685" s="2">
        <v>0</v>
      </c>
      <c r="K685" s="41"/>
      <c r="M685" s="3"/>
      <c r="N685" s="2">
        <v>0</v>
      </c>
      <c r="O685" s="2">
        <v>0</v>
      </c>
      <c r="P685" s="6">
        <v>0</v>
      </c>
      <c r="Q685" s="6">
        <v>0</v>
      </c>
      <c r="R685" s="2">
        <v>0.7109375</v>
      </c>
      <c r="T685" s="41">
        <v>11</v>
      </c>
      <c r="Y685" s="7"/>
      <c r="AA685" s="8"/>
      <c r="AB685" s="9"/>
      <c r="AE685" s="10"/>
      <c r="AF685" s="11"/>
      <c r="AG685"/>
    </row>
    <row r="686" spans="1:33" x14ac:dyDescent="0.2">
      <c r="A686" s="39" t="s">
        <v>391</v>
      </c>
      <c r="B686" s="5" t="s">
        <v>52</v>
      </c>
      <c r="C686" s="2">
        <v>7.4999999999999997E-2</v>
      </c>
      <c r="D686" s="3">
        <v>12</v>
      </c>
      <c r="E686" s="40" t="s">
        <v>375</v>
      </c>
      <c r="F686" s="2"/>
      <c r="G686" s="2">
        <v>0</v>
      </c>
      <c r="H686" s="40"/>
      <c r="I686" s="2">
        <v>0.83333333330000003</v>
      </c>
      <c r="J686" s="2">
        <v>0</v>
      </c>
      <c r="K686" s="41"/>
      <c r="M686" s="3"/>
      <c r="N686" s="2">
        <v>0</v>
      </c>
      <c r="O686" s="2">
        <v>0</v>
      </c>
      <c r="P686" s="6">
        <v>0</v>
      </c>
      <c r="Q686" s="6">
        <v>0</v>
      </c>
      <c r="R686" s="2">
        <v>6.25E-2</v>
      </c>
      <c r="T686" s="41">
        <v>11</v>
      </c>
      <c r="Y686" s="7"/>
      <c r="AA686" s="8"/>
      <c r="AB686" s="9"/>
      <c r="AE686" s="10"/>
      <c r="AF686" s="11"/>
      <c r="AG686"/>
    </row>
    <row r="687" spans="1:33" x14ac:dyDescent="0.2">
      <c r="A687" s="39" t="s">
        <v>365</v>
      </c>
      <c r="B687" s="5" t="s">
        <v>52</v>
      </c>
      <c r="C687" s="2">
        <v>0.05</v>
      </c>
      <c r="D687" s="3">
        <v>8</v>
      </c>
      <c r="E687" s="40" t="s">
        <v>392</v>
      </c>
      <c r="F687" s="2"/>
      <c r="G687" s="2">
        <v>0</v>
      </c>
      <c r="H687" s="40"/>
      <c r="I687" s="2">
        <v>0.83</v>
      </c>
      <c r="J687" s="2">
        <v>0</v>
      </c>
      <c r="K687" s="41"/>
      <c r="M687" s="3"/>
      <c r="N687" s="2">
        <v>0</v>
      </c>
      <c r="O687" s="2">
        <v>0</v>
      </c>
      <c r="P687" s="6">
        <v>0</v>
      </c>
      <c r="Q687" s="6">
        <v>0</v>
      </c>
      <c r="R687" s="2">
        <v>4.1500000000000002E-2</v>
      </c>
      <c r="T687" s="41">
        <v>11</v>
      </c>
      <c r="Y687" s="7"/>
      <c r="AA687" s="8"/>
      <c r="AB687" s="9"/>
      <c r="AE687" s="10"/>
      <c r="AF687" s="11"/>
      <c r="AG687"/>
    </row>
    <row r="688" spans="1:33" x14ac:dyDescent="0.2">
      <c r="A688" s="39" t="s">
        <v>393</v>
      </c>
      <c r="B688" s="5" t="s">
        <v>21</v>
      </c>
      <c r="C688" s="2">
        <v>0.16666666999999999</v>
      </c>
      <c r="D688" s="3">
        <v>26.666667</v>
      </c>
      <c r="E688" s="40" t="s">
        <v>41</v>
      </c>
      <c r="F688" s="2">
        <v>0.2</v>
      </c>
      <c r="G688" s="2">
        <v>3.1250000000000002E-3</v>
      </c>
      <c r="H688" s="40" t="s">
        <v>30</v>
      </c>
      <c r="I688" s="2"/>
      <c r="J688" s="2">
        <v>0</v>
      </c>
      <c r="K688" s="41"/>
      <c r="M688" s="3"/>
      <c r="N688" s="2">
        <v>0</v>
      </c>
      <c r="O688" s="2">
        <v>0</v>
      </c>
      <c r="P688" s="6">
        <v>0</v>
      </c>
      <c r="Q688" s="6">
        <v>0</v>
      </c>
      <c r="R688" s="2">
        <v>3.2812500000000001E-2</v>
      </c>
      <c r="S688" s="4" t="s">
        <v>31</v>
      </c>
      <c r="T688" s="41">
        <v>12</v>
      </c>
      <c r="Y688" s="7"/>
      <c r="AA688" s="8"/>
      <c r="AB688" s="9"/>
      <c r="AE688" s="10"/>
      <c r="AF688" s="11"/>
      <c r="AG688"/>
    </row>
    <row r="689" spans="1:33" x14ac:dyDescent="0.2">
      <c r="A689" s="39" t="s">
        <v>394</v>
      </c>
      <c r="B689" s="5" t="s">
        <v>21</v>
      </c>
      <c r="C689" s="2">
        <v>1.9439999999999999E-2</v>
      </c>
      <c r="D689" s="3">
        <v>3.1103999999999998</v>
      </c>
      <c r="E689" s="40" t="s">
        <v>124</v>
      </c>
      <c r="F689" s="2">
        <v>0.2</v>
      </c>
      <c r="G689" s="2">
        <v>3.1250000000000002E-3</v>
      </c>
      <c r="H689" s="40" t="s">
        <v>30</v>
      </c>
      <c r="I689" s="2"/>
      <c r="J689" s="2">
        <v>0</v>
      </c>
      <c r="K689" s="41"/>
      <c r="M689" s="3"/>
      <c r="N689" s="2">
        <v>0</v>
      </c>
      <c r="O689" s="2">
        <v>0</v>
      </c>
      <c r="P689" s="6">
        <v>0</v>
      </c>
      <c r="Q689" s="6">
        <v>0</v>
      </c>
      <c r="R689" s="2">
        <v>3.8272499999999999E-3</v>
      </c>
      <c r="S689" s="4" t="s">
        <v>31</v>
      </c>
      <c r="T689" s="41">
        <v>12</v>
      </c>
      <c r="Y689" s="7"/>
      <c r="AA689" s="8"/>
      <c r="AB689" s="9"/>
      <c r="AE689" s="10"/>
      <c r="AF689" s="11"/>
      <c r="AG689"/>
    </row>
    <row r="690" spans="1:33" x14ac:dyDescent="0.2">
      <c r="A690" s="39" t="s">
        <v>395</v>
      </c>
      <c r="B690" s="5" t="s">
        <v>21</v>
      </c>
      <c r="C690" s="2">
        <v>4.3195310000000001E-2</v>
      </c>
      <c r="D690" s="3">
        <v>6.9112499999999999</v>
      </c>
      <c r="E690" s="40" t="s">
        <v>396</v>
      </c>
      <c r="F690" s="2">
        <v>0.2</v>
      </c>
      <c r="G690" s="2">
        <v>3.1250000000000002E-3</v>
      </c>
      <c r="H690" s="40" t="s">
        <v>30</v>
      </c>
      <c r="I690" s="2"/>
      <c r="J690" s="2">
        <v>0</v>
      </c>
      <c r="K690" s="41"/>
      <c r="M690" s="3"/>
      <c r="N690" s="2">
        <v>0</v>
      </c>
      <c r="O690" s="2">
        <v>0</v>
      </c>
      <c r="P690" s="6">
        <v>0</v>
      </c>
      <c r="Q690" s="6">
        <v>0</v>
      </c>
      <c r="R690" s="2">
        <v>8.5040800000000007E-3</v>
      </c>
      <c r="S690" s="4" t="s">
        <v>31</v>
      </c>
      <c r="T690" s="41">
        <v>12</v>
      </c>
      <c r="Y690" s="7"/>
      <c r="AA690" s="8"/>
      <c r="AB690" s="9"/>
      <c r="AE690" s="10"/>
      <c r="AF690" s="11"/>
      <c r="AG690"/>
    </row>
    <row r="691" spans="1:33" x14ac:dyDescent="0.2">
      <c r="A691" s="39" t="s">
        <v>397</v>
      </c>
      <c r="B691" s="5" t="s">
        <v>21</v>
      </c>
      <c r="C691" s="2">
        <v>2.5000000000000001E-2</v>
      </c>
      <c r="D691" s="3">
        <v>4</v>
      </c>
      <c r="E691" s="40" t="s">
        <v>398</v>
      </c>
      <c r="F691" s="2">
        <v>0.2</v>
      </c>
      <c r="G691" s="2">
        <v>3.1250000000000002E-3</v>
      </c>
      <c r="H691" s="40" t="s">
        <v>30</v>
      </c>
      <c r="I691" s="2"/>
      <c r="J691" s="2">
        <v>0</v>
      </c>
      <c r="K691" s="41"/>
      <c r="M691" s="3"/>
      <c r="N691" s="2">
        <v>0</v>
      </c>
      <c r="O691" s="2">
        <v>0</v>
      </c>
      <c r="P691" s="6">
        <v>0</v>
      </c>
      <c r="Q691" s="6">
        <v>0</v>
      </c>
      <c r="R691" s="2">
        <v>4.92188E-3</v>
      </c>
      <c r="S691" s="4" t="s">
        <v>31</v>
      </c>
      <c r="T691" s="41">
        <v>12</v>
      </c>
      <c r="Y691" s="7"/>
      <c r="AA691" s="8"/>
      <c r="AB691" s="9"/>
      <c r="AE691" s="10"/>
      <c r="AF691" s="11"/>
      <c r="AG691"/>
    </row>
    <row r="692" spans="1:33" x14ac:dyDescent="0.2">
      <c r="A692" s="39" t="s">
        <v>399</v>
      </c>
      <c r="B692" s="5" t="s">
        <v>21</v>
      </c>
      <c r="C692" s="2">
        <v>2.430556E-2</v>
      </c>
      <c r="D692" s="3">
        <v>3.8888889999999998</v>
      </c>
      <c r="E692" s="40" t="s">
        <v>400</v>
      </c>
      <c r="F692" s="2">
        <v>0.1875</v>
      </c>
      <c r="G692" s="2">
        <v>2.92969E-3</v>
      </c>
      <c r="H692" s="40" t="s">
        <v>30</v>
      </c>
      <c r="I692" s="2"/>
      <c r="J692" s="2">
        <v>0</v>
      </c>
      <c r="K692" s="41"/>
      <c r="M692" s="3"/>
      <c r="N692" s="2">
        <v>0</v>
      </c>
      <c r="O692" s="2">
        <v>0</v>
      </c>
      <c r="P692" s="6">
        <v>0</v>
      </c>
      <c r="Q692" s="6">
        <v>0</v>
      </c>
      <c r="R692" s="2">
        <v>4.4860799999999999E-3</v>
      </c>
      <c r="S692" s="4" t="s">
        <v>31</v>
      </c>
      <c r="T692" s="41">
        <v>12</v>
      </c>
      <c r="Y692" s="7"/>
      <c r="AA692" s="8"/>
      <c r="AB692" s="9"/>
      <c r="AE692" s="10"/>
      <c r="AF692" s="11"/>
      <c r="AG692"/>
    </row>
    <row r="693" spans="1:33" x14ac:dyDescent="0.2">
      <c r="A693" s="39" t="s">
        <v>401</v>
      </c>
      <c r="B693" s="5" t="s">
        <v>21</v>
      </c>
      <c r="C693" s="2">
        <v>0.15416666000000001</v>
      </c>
      <c r="D693" s="3">
        <v>24.666667</v>
      </c>
      <c r="E693" s="40" t="s">
        <v>398</v>
      </c>
      <c r="F693" s="2">
        <v>0.2</v>
      </c>
      <c r="G693" s="2">
        <v>3.1250000000000002E-3</v>
      </c>
      <c r="H693" s="40" t="s">
        <v>30</v>
      </c>
      <c r="I693" s="2"/>
      <c r="J693" s="2">
        <v>0</v>
      </c>
      <c r="K693" s="41"/>
      <c r="M693" s="3"/>
      <c r="N693" s="2">
        <v>0</v>
      </c>
      <c r="O693" s="2">
        <v>0</v>
      </c>
      <c r="P693" s="6">
        <v>0</v>
      </c>
      <c r="Q693" s="6">
        <v>0</v>
      </c>
      <c r="R693" s="2">
        <v>3.0351570000000001E-2</v>
      </c>
      <c r="S693" s="4" t="s">
        <v>31</v>
      </c>
      <c r="T693" s="41">
        <v>12</v>
      </c>
      <c r="Y693" s="7"/>
      <c r="AA693" s="8"/>
      <c r="AB693" s="9"/>
      <c r="AE693" s="10"/>
      <c r="AF693" s="11"/>
      <c r="AG693"/>
    </row>
    <row r="694" spans="1:33" x14ac:dyDescent="0.2">
      <c r="A694" s="39" t="s">
        <v>402</v>
      </c>
      <c r="B694" s="5" t="s">
        <v>21</v>
      </c>
      <c r="C694" s="2">
        <v>7.7083330000000005E-2</v>
      </c>
      <c r="D694" s="3">
        <v>12.333333</v>
      </c>
      <c r="E694" s="40" t="s">
        <v>398</v>
      </c>
      <c r="F694" s="2">
        <v>0.2</v>
      </c>
      <c r="G694" s="2">
        <v>3.1250000000000002E-3</v>
      </c>
      <c r="H694" s="40" t="s">
        <v>30</v>
      </c>
      <c r="I694" s="2"/>
      <c r="J694" s="2">
        <v>0</v>
      </c>
      <c r="K694" s="41"/>
      <c r="M694" s="3"/>
      <c r="N694" s="2">
        <v>0</v>
      </c>
      <c r="O694" s="2">
        <v>0</v>
      </c>
      <c r="P694" s="6">
        <v>0</v>
      </c>
      <c r="Q694" s="6">
        <v>0</v>
      </c>
      <c r="R694" s="2">
        <v>1.517578E-2</v>
      </c>
      <c r="S694" s="4" t="s">
        <v>31</v>
      </c>
      <c r="T694" s="41">
        <v>12</v>
      </c>
      <c r="Y694" s="7"/>
      <c r="AA694" s="8"/>
      <c r="AB694" s="9"/>
      <c r="AE694" s="10"/>
      <c r="AF694" s="11"/>
      <c r="AG694"/>
    </row>
    <row r="695" spans="1:33" x14ac:dyDescent="0.2">
      <c r="A695" s="39" t="s">
        <v>403</v>
      </c>
      <c r="B695" s="5" t="s">
        <v>21</v>
      </c>
      <c r="C695" s="2">
        <v>0.33333332999999998</v>
      </c>
      <c r="D695" s="3">
        <v>53.333333000000003</v>
      </c>
      <c r="E695" s="40" t="s">
        <v>404</v>
      </c>
      <c r="F695" s="2">
        <v>0.2</v>
      </c>
      <c r="G695" s="2">
        <v>3.1250000000000002E-3</v>
      </c>
      <c r="H695" s="40" t="s">
        <v>30</v>
      </c>
      <c r="I695" s="2"/>
      <c r="J695" s="2">
        <v>0</v>
      </c>
      <c r="K695" s="41"/>
      <c r="M695" s="3"/>
      <c r="N695" s="2">
        <v>0</v>
      </c>
      <c r="O695" s="2">
        <v>0</v>
      </c>
      <c r="P695" s="6">
        <v>0</v>
      </c>
      <c r="Q695" s="6">
        <v>0</v>
      </c>
      <c r="R695" s="2">
        <v>6.5625000000000003E-2</v>
      </c>
      <c r="S695" s="4" t="s">
        <v>31</v>
      </c>
      <c r="T695" s="41">
        <v>12</v>
      </c>
      <c r="Y695" s="7"/>
      <c r="AA695" s="8"/>
      <c r="AB695" s="9"/>
      <c r="AE695" s="10"/>
      <c r="AF695" s="11"/>
      <c r="AG695"/>
    </row>
    <row r="696" spans="1:33" x14ac:dyDescent="0.2">
      <c r="A696" s="39" t="s">
        <v>405</v>
      </c>
      <c r="B696" s="5" t="s">
        <v>21</v>
      </c>
      <c r="C696" s="2">
        <v>3.111469E-2</v>
      </c>
      <c r="D696" s="3">
        <v>4.9783499999999998</v>
      </c>
      <c r="E696" s="40" t="s">
        <v>406</v>
      </c>
      <c r="F696" s="2">
        <v>0.2</v>
      </c>
      <c r="G696" s="2">
        <v>3.1250000000000002E-3</v>
      </c>
      <c r="H696" s="40" t="s">
        <v>30</v>
      </c>
      <c r="I696" s="2"/>
      <c r="J696" s="2">
        <v>0</v>
      </c>
      <c r="K696" s="41"/>
      <c r="M696" s="3"/>
      <c r="N696" s="2">
        <v>0</v>
      </c>
      <c r="O696" s="2">
        <v>0</v>
      </c>
      <c r="P696" s="6">
        <v>0</v>
      </c>
      <c r="Q696" s="6">
        <v>0</v>
      </c>
      <c r="R696" s="2">
        <v>6.1257000000000004E-3</v>
      </c>
      <c r="S696" s="4" t="s">
        <v>31</v>
      </c>
      <c r="T696" s="41">
        <v>12</v>
      </c>
      <c r="Y696" s="7"/>
      <c r="AA696" s="8"/>
      <c r="AB696" s="9"/>
      <c r="AE696" s="10"/>
      <c r="AF696" s="11"/>
      <c r="AG696"/>
    </row>
    <row r="697" spans="1:33" ht="25.5" x14ac:dyDescent="0.2">
      <c r="A697" s="39" t="s">
        <v>407</v>
      </c>
      <c r="B697" s="5" t="s">
        <v>21</v>
      </c>
      <c r="C697" s="2">
        <v>2.430556E-2</v>
      </c>
      <c r="D697" s="3">
        <v>3.8888889999999998</v>
      </c>
      <c r="E697" s="40" t="s">
        <v>408</v>
      </c>
      <c r="F697" s="2">
        <v>0.1875</v>
      </c>
      <c r="G697" s="2">
        <v>2.92969E-3</v>
      </c>
      <c r="H697" s="40" t="s">
        <v>30</v>
      </c>
      <c r="I697" s="2"/>
      <c r="J697" s="2">
        <v>0</v>
      </c>
      <c r="K697" s="41"/>
      <c r="M697" s="3"/>
      <c r="N697" s="2">
        <v>0</v>
      </c>
      <c r="O697" s="2">
        <v>0</v>
      </c>
      <c r="P697" s="6">
        <v>0</v>
      </c>
      <c r="Q697" s="6">
        <v>0</v>
      </c>
      <c r="R697" s="2">
        <v>4.4860899999999999E-3</v>
      </c>
      <c r="S697" s="4" t="s">
        <v>31</v>
      </c>
      <c r="T697" s="41">
        <v>12</v>
      </c>
      <c r="Y697" s="7"/>
      <c r="AA697" s="8"/>
      <c r="AB697" s="9"/>
      <c r="AE697" s="10"/>
      <c r="AF697" s="11"/>
      <c r="AG697"/>
    </row>
    <row r="698" spans="1:33" ht="38.25" x14ac:dyDescent="0.2">
      <c r="A698" s="39" t="s">
        <v>409</v>
      </c>
      <c r="B698" s="5" t="s">
        <v>21</v>
      </c>
      <c r="C698" s="2">
        <v>2.430556E-2</v>
      </c>
      <c r="D698" s="3">
        <v>3.8888889999999998</v>
      </c>
      <c r="E698" s="40" t="s">
        <v>410</v>
      </c>
      <c r="F698" s="2">
        <v>0.1875</v>
      </c>
      <c r="G698" s="2">
        <v>2.92969E-3</v>
      </c>
      <c r="H698" s="40" t="s">
        <v>30</v>
      </c>
      <c r="I698" s="2"/>
      <c r="J698" s="2">
        <v>0</v>
      </c>
      <c r="K698" s="41"/>
      <c r="M698" s="3"/>
      <c r="N698" s="2">
        <v>0</v>
      </c>
      <c r="O698" s="2">
        <v>0</v>
      </c>
      <c r="P698" s="6">
        <v>0</v>
      </c>
      <c r="Q698" s="6">
        <v>0</v>
      </c>
      <c r="R698" s="2">
        <v>4.4860899999999999E-3</v>
      </c>
      <c r="S698" s="4" t="s">
        <v>31</v>
      </c>
      <c r="T698" s="41">
        <v>12</v>
      </c>
      <c r="Y698" s="7"/>
      <c r="AA698" s="8"/>
      <c r="AB698" s="9"/>
      <c r="AE698" s="10"/>
      <c r="AF698" s="11"/>
      <c r="AG698"/>
    </row>
    <row r="699" spans="1:33" x14ac:dyDescent="0.2">
      <c r="A699" s="39" t="s">
        <v>411</v>
      </c>
      <c r="B699" s="5" t="s">
        <v>21</v>
      </c>
      <c r="C699" s="2">
        <v>7.7083330000000005E-2</v>
      </c>
      <c r="D699" s="3">
        <v>12.333333</v>
      </c>
      <c r="E699" s="40" t="s">
        <v>398</v>
      </c>
      <c r="F699" s="2">
        <v>0.2</v>
      </c>
      <c r="G699" s="2">
        <v>3.1250000000000002E-3</v>
      </c>
      <c r="H699" s="40" t="s">
        <v>30</v>
      </c>
      <c r="I699" s="2"/>
      <c r="J699" s="2">
        <v>0</v>
      </c>
      <c r="K699" s="41"/>
      <c r="M699" s="3"/>
      <c r="N699" s="2">
        <v>0</v>
      </c>
      <c r="O699" s="2">
        <v>0</v>
      </c>
      <c r="P699" s="6">
        <v>0</v>
      </c>
      <c r="Q699" s="6">
        <v>0</v>
      </c>
      <c r="R699" s="2">
        <v>1.517578E-2</v>
      </c>
      <c r="S699" s="4" t="s">
        <v>31</v>
      </c>
      <c r="T699" s="41">
        <v>12</v>
      </c>
      <c r="Y699" s="7"/>
      <c r="AA699" s="8"/>
      <c r="AB699" s="9"/>
      <c r="AE699" s="10"/>
      <c r="AF699" s="11"/>
      <c r="AG699"/>
    </row>
    <row r="700" spans="1:33" ht="38.25" x14ac:dyDescent="0.2">
      <c r="A700" s="39" t="s">
        <v>412</v>
      </c>
      <c r="B700" s="5" t="s">
        <v>13</v>
      </c>
      <c r="C700" s="2"/>
      <c r="D700" s="3"/>
      <c r="E700" s="40" t="s">
        <v>398</v>
      </c>
      <c r="F700" s="2"/>
      <c r="G700" s="2">
        <v>0</v>
      </c>
      <c r="H700" s="40" t="s">
        <v>30</v>
      </c>
      <c r="I700" s="2"/>
      <c r="J700" s="2">
        <v>0</v>
      </c>
      <c r="K700" s="41"/>
      <c r="L700" s="2">
        <v>1.8749999999999999E-2</v>
      </c>
      <c r="M700" s="3">
        <v>3</v>
      </c>
      <c r="N700" s="2">
        <v>1.5625E-2</v>
      </c>
      <c r="O700" s="2">
        <v>0.5</v>
      </c>
      <c r="P700" s="6">
        <v>0</v>
      </c>
      <c r="Q700" s="6">
        <v>0</v>
      </c>
      <c r="R700" s="2">
        <v>1.4647999999999999E-4</v>
      </c>
      <c r="S700" s="4" t="s">
        <v>31</v>
      </c>
      <c r="T700" s="41">
        <v>12</v>
      </c>
      <c r="Y700" s="7"/>
      <c r="AA700" s="8"/>
      <c r="AB700" s="9"/>
      <c r="AE700" s="10"/>
      <c r="AF700" s="11"/>
      <c r="AG700"/>
    </row>
    <row r="701" spans="1:33" ht="38.25" x14ac:dyDescent="0.2">
      <c r="A701" s="39" t="s">
        <v>412</v>
      </c>
      <c r="B701" s="5" t="s">
        <v>13</v>
      </c>
      <c r="C701" s="2"/>
      <c r="D701" s="3"/>
      <c r="E701" s="40" t="s">
        <v>413</v>
      </c>
      <c r="F701" s="2"/>
      <c r="G701" s="2">
        <v>0</v>
      </c>
      <c r="H701" s="40" t="s">
        <v>30</v>
      </c>
      <c r="I701" s="2"/>
      <c r="J701" s="2">
        <v>0</v>
      </c>
      <c r="K701" s="41"/>
      <c r="L701" s="2">
        <v>0.16666666999999999</v>
      </c>
      <c r="M701" s="3">
        <v>26.666667</v>
      </c>
      <c r="N701" s="2">
        <v>1.5625E-2</v>
      </c>
      <c r="O701" s="2">
        <v>0.5</v>
      </c>
      <c r="P701" s="6">
        <v>0</v>
      </c>
      <c r="Q701" s="6">
        <v>0</v>
      </c>
      <c r="R701" s="2">
        <v>1.3020799999999999E-3</v>
      </c>
      <c r="S701" s="4" t="s">
        <v>31</v>
      </c>
      <c r="T701" s="41">
        <v>12</v>
      </c>
      <c r="Y701" s="7"/>
      <c r="AA701" s="8"/>
      <c r="AB701" s="9"/>
      <c r="AE701" s="10"/>
      <c r="AF701" s="11"/>
      <c r="AG701"/>
    </row>
    <row r="702" spans="1:33" ht="38.25" x14ac:dyDescent="0.2">
      <c r="A702" s="39" t="s">
        <v>412</v>
      </c>
      <c r="B702" s="5" t="s">
        <v>13</v>
      </c>
      <c r="C702" s="2"/>
      <c r="D702" s="3"/>
      <c r="E702" s="40" t="s">
        <v>414</v>
      </c>
      <c r="F702" s="2"/>
      <c r="G702" s="2">
        <v>0</v>
      </c>
      <c r="H702" s="40" t="s">
        <v>30</v>
      </c>
      <c r="I702" s="2"/>
      <c r="J702" s="2">
        <v>0</v>
      </c>
      <c r="K702" s="41"/>
      <c r="L702" s="2">
        <v>1.3671880000000001E-2</v>
      </c>
      <c r="M702" s="3">
        <v>2.1875010000000001</v>
      </c>
      <c r="N702" s="2">
        <v>1.5625E-2</v>
      </c>
      <c r="O702" s="2">
        <v>0.5</v>
      </c>
      <c r="P702" s="6">
        <v>0</v>
      </c>
      <c r="Q702" s="6">
        <v>0</v>
      </c>
      <c r="R702" s="2">
        <v>1.0681E-4</v>
      </c>
      <c r="S702" s="4" t="s">
        <v>31</v>
      </c>
      <c r="T702" s="41">
        <v>12</v>
      </c>
      <c r="Y702" s="7"/>
      <c r="AA702" s="8"/>
      <c r="AB702" s="9"/>
      <c r="AE702" s="10"/>
      <c r="AF702" s="11"/>
      <c r="AG702"/>
    </row>
    <row r="703" spans="1:33" x14ac:dyDescent="0.2">
      <c r="A703" s="39" t="s">
        <v>143</v>
      </c>
      <c r="B703" s="5" t="s">
        <v>13</v>
      </c>
      <c r="C703" s="2"/>
      <c r="D703" s="3"/>
      <c r="E703" s="40" t="s">
        <v>398</v>
      </c>
      <c r="F703" s="2"/>
      <c r="G703" s="2">
        <v>0</v>
      </c>
      <c r="H703" s="40" t="s">
        <v>30</v>
      </c>
      <c r="I703" s="2"/>
      <c r="J703" s="2">
        <v>0</v>
      </c>
      <c r="K703" s="41"/>
      <c r="L703" s="2">
        <v>1.8749999999999999E-2</v>
      </c>
      <c r="M703" s="3">
        <v>3</v>
      </c>
      <c r="N703" s="2">
        <v>1.5625E-2</v>
      </c>
      <c r="O703" s="2">
        <v>0.5</v>
      </c>
      <c r="P703" s="6">
        <v>0</v>
      </c>
      <c r="Q703" s="6">
        <v>0</v>
      </c>
      <c r="R703" s="2">
        <v>1.4647999999999999E-4</v>
      </c>
      <c r="S703" s="4" t="s">
        <v>31</v>
      </c>
      <c r="T703" s="41">
        <v>12</v>
      </c>
      <c r="Y703" s="7"/>
      <c r="AA703" s="8"/>
      <c r="AB703" s="9"/>
      <c r="AE703" s="10"/>
      <c r="AF703" s="11"/>
      <c r="AG703"/>
    </row>
    <row r="704" spans="1:33" x14ac:dyDescent="0.2">
      <c r="A704" s="39" t="s">
        <v>143</v>
      </c>
      <c r="B704" s="5" t="s">
        <v>13</v>
      </c>
      <c r="C704" s="2"/>
      <c r="D704" s="3"/>
      <c r="E704" s="40" t="s">
        <v>415</v>
      </c>
      <c r="F704" s="2"/>
      <c r="G704" s="2">
        <v>0</v>
      </c>
      <c r="H704" s="40" t="s">
        <v>30</v>
      </c>
      <c r="I704" s="2"/>
      <c r="J704" s="2">
        <v>0</v>
      </c>
      <c r="K704" s="41"/>
      <c r="L704" s="2">
        <v>0.16666666999999999</v>
      </c>
      <c r="M704" s="3">
        <v>26.666667</v>
      </c>
      <c r="N704" s="2">
        <v>1.5625E-2</v>
      </c>
      <c r="O704" s="2">
        <v>0.5</v>
      </c>
      <c r="P704" s="6">
        <v>0</v>
      </c>
      <c r="Q704" s="6">
        <v>0</v>
      </c>
      <c r="R704" s="2">
        <v>1.3020799999999999E-3</v>
      </c>
      <c r="S704" s="4" t="s">
        <v>31</v>
      </c>
      <c r="T704" s="41">
        <v>12</v>
      </c>
      <c r="Y704" s="7"/>
      <c r="AA704" s="8"/>
      <c r="AB704" s="9"/>
      <c r="AE704" s="10"/>
      <c r="AF704" s="11"/>
      <c r="AG704"/>
    </row>
    <row r="705" spans="1:33" x14ac:dyDescent="0.2">
      <c r="A705" s="39" t="s">
        <v>143</v>
      </c>
      <c r="B705" s="5" t="s">
        <v>13</v>
      </c>
      <c r="C705" s="2"/>
      <c r="D705" s="3"/>
      <c r="E705" s="40" t="s">
        <v>414</v>
      </c>
      <c r="F705" s="2"/>
      <c r="G705" s="2">
        <v>0</v>
      </c>
      <c r="H705" s="40" t="s">
        <v>30</v>
      </c>
      <c r="I705" s="2"/>
      <c r="J705" s="2">
        <v>0</v>
      </c>
      <c r="K705" s="41"/>
      <c r="L705" s="2">
        <v>1.3671880000000001E-2</v>
      </c>
      <c r="M705" s="3">
        <v>2.1875010000000001</v>
      </c>
      <c r="N705" s="2">
        <v>1.5625E-2</v>
      </c>
      <c r="O705" s="2">
        <v>0.5</v>
      </c>
      <c r="P705" s="6">
        <v>0</v>
      </c>
      <c r="Q705" s="6">
        <v>0</v>
      </c>
      <c r="R705" s="2">
        <v>1.0681E-4</v>
      </c>
      <c r="S705" s="4" t="s">
        <v>31</v>
      </c>
      <c r="T705" s="41">
        <v>12</v>
      </c>
      <c r="Y705" s="7"/>
      <c r="AA705" s="8"/>
      <c r="AB705" s="9"/>
      <c r="AE705" s="10"/>
      <c r="AF705" s="11"/>
      <c r="AG705"/>
    </row>
    <row r="706" spans="1:33" x14ac:dyDescent="0.2">
      <c r="A706" s="39" t="s">
        <v>416</v>
      </c>
      <c r="B706" s="5" t="s">
        <v>15</v>
      </c>
      <c r="C706" s="2"/>
      <c r="D706" s="3"/>
      <c r="E706" s="40" t="s">
        <v>417</v>
      </c>
      <c r="F706" s="2"/>
      <c r="G706" s="2">
        <v>0</v>
      </c>
      <c r="H706" s="40"/>
      <c r="I706" s="2"/>
      <c r="J706" s="2">
        <v>0</v>
      </c>
      <c r="K706" s="41" t="s">
        <v>158</v>
      </c>
      <c r="L706" s="2">
        <v>9.375E-2</v>
      </c>
      <c r="M706" s="3">
        <v>15</v>
      </c>
      <c r="N706" s="2">
        <v>0</v>
      </c>
      <c r="O706" s="2">
        <v>0</v>
      </c>
      <c r="P706" s="6">
        <v>1.4999999999999999E-2</v>
      </c>
      <c r="Q706" s="6">
        <v>0.125</v>
      </c>
      <c r="R706" s="2">
        <v>1.7578E-4</v>
      </c>
      <c r="T706" s="41">
        <v>12</v>
      </c>
      <c r="Y706" s="7"/>
      <c r="AA706" s="8"/>
      <c r="AB706" s="9"/>
      <c r="AE706" s="10"/>
      <c r="AF706" s="11"/>
      <c r="AG706"/>
    </row>
    <row r="707" spans="1:33" x14ac:dyDescent="0.2">
      <c r="A707" s="39" t="s">
        <v>418</v>
      </c>
      <c r="B707" s="5" t="s">
        <v>15</v>
      </c>
      <c r="C707" s="2"/>
      <c r="D707" s="3"/>
      <c r="E707" s="40" t="s">
        <v>419</v>
      </c>
      <c r="F707" s="2"/>
      <c r="G707" s="2">
        <v>0</v>
      </c>
      <c r="H707" s="40"/>
      <c r="I707" s="2"/>
      <c r="J707" s="2">
        <v>0</v>
      </c>
      <c r="K707" s="41" t="s">
        <v>361</v>
      </c>
      <c r="L707" s="2">
        <v>7.2916670000000003E-2</v>
      </c>
      <c r="M707" s="3">
        <v>11.666667</v>
      </c>
      <c r="N707" s="2">
        <v>0</v>
      </c>
      <c r="O707" s="2">
        <v>0</v>
      </c>
      <c r="P707" s="6">
        <v>0.02</v>
      </c>
      <c r="Q707" s="6">
        <v>0.5</v>
      </c>
      <c r="R707" s="2">
        <v>7.2917000000000001E-4</v>
      </c>
      <c r="T707" s="41">
        <v>12</v>
      </c>
      <c r="Y707" s="7"/>
      <c r="AA707" s="8"/>
      <c r="AB707" s="9"/>
      <c r="AE707" s="10"/>
      <c r="AF707" s="11"/>
      <c r="AG707"/>
    </row>
    <row r="708" spans="1:33" x14ac:dyDescent="0.2">
      <c r="A708" s="39" t="s">
        <v>420</v>
      </c>
      <c r="B708" s="5" t="s">
        <v>15</v>
      </c>
      <c r="C708" s="2"/>
      <c r="D708" s="3"/>
      <c r="E708" s="40" t="s">
        <v>419</v>
      </c>
      <c r="F708" s="2"/>
      <c r="G708" s="2">
        <v>0</v>
      </c>
      <c r="H708" s="40"/>
      <c r="I708" s="2"/>
      <c r="J708" s="2">
        <v>0</v>
      </c>
      <c r="K708" s="41" t="s">
        <v>74</v>
      </c>
      <c r="L708" s="2">
        <v>7.2916670000000003E-2</v>
      </c>
      <c r="M708" s="3">
        <v>11.666667</v>
      </c>
      <c r="N708" s="2">
        <v>0</v>
      </c>
      <c r="O708" s="2">
        <v>0</v>
      </c>
      <c r="P708" s="6">
        <v>0.02</v>
      </c>
      <c r="Q708" s="6">
        <v>0.5</v>
      </c>
      <c r="R708" s="2">
        <v>7.2917000000000001E-4</v>
      </c>
      <c r="T708" s="41">
        <v>12</v>
      </c>
      <c r="Y708" s="7"/>
      <c r="AA708" s="8"/>
      <c r="AB708" s="9"/>
      <c r="AE708" s="10"/>
      <c r="AF708" s="11"/>
      <c r="AG708"/>
    </row>
    <row r="709" spans="1:33" x14ac:dyDescent="0.2">
      <c r="A709" s="39" t="s">
        <v>421</v>
      </c>
      <c r="B709" s="5" t="s">
        <v>15</v>
      </c>
      <c r="C709" s="2"/>
      <c r="D709" s="3"/>
      <c r="E709" s="40" t="s">
        <v>398</v>
      </c>
      <c r="F709" s="2"/>
      <c r="G709" s="2">
        <v>0</v>
      </c>
      <c r="H709" s="40"/>
      <c r="I709" s="2"/>
      <c r="J709" s="2">
        <v>0</v>
      </c>
      <c r="K709" s="41" t="s">
        <v>58</v>
      </c>
      <c r="L709" s="2">
        <v>0.33333332999999998</v>
      </c>
      <c r="M709" s="3">
        <v>53.333333000000003</v>
      </c>
      <c r="N709" s="2">
        <v>0</v>
      </c>
      <c r="O709" s="2">
        <v>0</v>
      </c>
      <c r="P709" s="6">
        <v>0.01</v>
      </c>
      <c r="Q709" s="6">
        <v>1</v>
      </c>
      <c r="R709" s="2">
        <v>3.3333299999999998E-3</v>
      </c>
      <c r="T709" s="41">
        <v>12</v>
      </c>
      <c r="Y709" s="7"/>
      <c r="AA709" s="8"/>
      <c r="AB709" s="9"/>
      <c r="AE709" s="10"/>
      <c r="AF709" s="11"/>
      <c r="AG709"/>
    </row>
    <row r="710" spans="1:33" x14ac:dyDescent="0.2">
      <c r="A710" s="39" t="s">
        <v>337</v>
      </c>
      <c r="B710" s="5" t="s">
        <v>52</v>
      </c>
      <c r="C710" s="2">
        <v>1.171875E-2</v>
      </c>
      <c r="D710" s="3">
        <v>1.875</v>
      </c>
      <c r="E710" s="40" t="s">
        <v>417</v>
      </c>
      <c r="F710" s="2"/>
      <c r="G710" s="2">
        <v>0</v>
      </c>
      <c r="H710" s="40"/>
      <c r="I710" s="2">
        <v>0.8</v>
      </c>
      <c r="J710" s="2">
        <v>0</v>
      </c>
      <c r="K710" s="41"/>
      <c r="M710" s="3"/>
      <c r="N710" s="2">
        <v>0</v>
      </c>
      <c r="O710" s="2">
        <v>0</v>
      </c>
      <c r="P710" s="6">
        <v>0</v>
      </c>
      <c r="Q710" s="6">
        <v>0</v>
      </c>
      <c r="R710" s="2">
        <v>9.3749999999999997E-3</v>
      </c>
      <c r="T710" s="41">
        <v>12</v>
      </c>
      <c r="Y710" s="7"/>
      <c r="AA710" s="8"/>
      <c r="AB710" s="9"/>
      <c r="AE710" s="10"/>
      <c r="AF710" s="11"/>
      <c r="AG710"/>
    </row>
    <row r="711" spans="1:33" x14ac:dyDescent="0.2">
      <c r="A711" s="39" t="s">
        <v>422</v>
      </c>
      <c r="B711" s="5" t="s">
        <v>52</v>
      </c>
      <c r="C711" s="2">
        <v>7.03125E-2</v>
      </c>
      <c r="D711" s="3">
        <v>11.25</v>
      </c>
      <c r="E711" s="40" t="s">
        <v>417</v>
      </c>
      <c r="F711" s="2"/>
      <c r="G711" s="2">
        <v>0</v>
      </c>
      <c r="H711" s="40"/>
      <c r="I711" s="2">
        <v>0.8</v>
      </c>
      <c r="J711" s="2">
        <v>0</v>
      </c>
      <c r="K711" s="41"/>
      <c r="M711" s="3"/>
      <c r="N711" s="2">
        <v>0</v>
      </c>
      <c r="O711" s="2">
        <v>0</v>
      </c>
      <c r="P711" s="6">
        <v>0</v>
      </c>
      <c r="Q711" s="6">
        <v>0</v>
      </c>
      <c r="R711" s="2">
        <v>5.6250000000000001E-2</v>
      </c>
      <c r="T711" s="41">
        <v>12</v>
      </c>
      <c r="Y711" s="7"/>
      <c r="AA711" s="8"/>
      <c r="AB711" s="9"/>
      <c r="AE711" s="10"/>
      <c r="AF711" s="11"/>
      <c r="AG711"/>
    </row>
    <row r="712" spans="1:33" x14ac:dyDescent="0.2">
      <c r="A712" s="39" t="s">
        <v>422</v>
      </c>
      <c r="B712" s="5" t="s">
        <v>52</v>
      </c>
      <c r="C712" s="2">
        <v>1.171875E-2</v>
      </c>
      <c r="D712" s="3">
        <v>1.875</v>
      </c>
      <c r="E712" s="40" t="s">
        <v>417</v>
      </c>
      <c r="F712" s="2"/>
      <c r="G712" s="2">
        <v>0</v>
      </c>
      <c r="H712" s="40"/>
      <c r="I712" s="2">
        <v>0.8</v>
      </c>
      <c r="J712" s="2">
        <v>1.4999999999999999E-2</v>
      </c>
      <c r="K712" s="41" t="s">
        <v>158</v>
      </c>
      <c r="M712" s="3"/>
      <c r="N712" s="2">
        <v>0</v>
      </c>
      <c r="O712" s="2">
        <v>0</v>
      </c>
      <c r="P712" s="6">
        <v>0</v>
      </c>
      <c r="Q712" s="6">
        <v>0</v>
      </c>
      <c r="R712" s="2">
        <v>9.1992199999999993E-3</v>
      </c>
      <c r="T712" s="41">
        <v>12</v>
      </c>
      <c r="Y712" s="7"/>
      <c r="AA712" s="8"/>
      <c r="AB712" s="9"/>
      <c r="AE712" s="10"/>
      <c r="AF712" s="11"/>
      <c r="AG712"/>
    </row>
    <row r="713" spans="1:33" x14ac:dyDescent="0.2">
      <c r="A713" s="39" t="s">
        <v>422</v>
      </c>
      <c r="B713" s="5" t="s">
        <v>52</v>
      </c>
      <c r="C713" s="2">
        <v>0.16666666999999999</v>
      </c>
      <c r="D713" s="3">
        <v>26.666667</v>
      </c>
      <c r="E713" s="40" t="s">
        <v>41</v>
      </c>
      <c r="F713" s="2"/>
      <c r="G713" s="2">
        <v>0</v>
      </c>
      <c r="H713" s="40"/>
      <c r="I713" s="2">
        <v>0.8</v>
      </c>
      <c r="J713" s="2">
        <v>0</v>
      </c>
      <c r="K713" s="41"/>
      <c r="M713" s="3"/>
      <c r="N713" s="2">
        <v>0</v>
      </c>
      <c r="O713" s="2">
        <v>0</v>
      </c>
      <c r="P713" s="6">
        <v>0</v>
      </c>
      <c r="Q713" s="6">
        <v>0</v>
      </c>
      <c r="R713" s="2">
        <v>0.13333333999999999</v>
      </c>
      <c r="T713" s="41">
        <v>12</v>
      </c>
      <c r="Y713" s="7"/>
      <c r="AA713" s="8"/>
      <c r="AB713" s="9"/>
      <c r="AE713" s="10"/>
      <c r="AF713" s="11"/>
      <c r="AG713"/>
    </row>
    <row r="714" spans="1:33" x14ac:dyDescent="0.2">
      <c r="A714" s="39" t="s">
        <v>423</v>
      </c>
      <c r="B714" s="5" t="s">
        <v>52</v>
      </c>
      <c r="C714" s="2">
        <v>0.33333332999999998</v>
      </c>
      <c r="D714" s="3">
        <v>53.333333000000003</v>
      </c>
      <c r="E714" s="40" t="s">
        <v>404</v>
      </c>
      <c r="F714" s="2"/>
      <c r="G714" s="2">
        <v>0</v>
      </c>
      <c r="H714" s="40"/>
      <c r="I714" s="2">
        <v>0.8</v>
      </c>
      <c r="J714" s="2">
        <v>0</v>
      </c>
      <c r="K714" s="41"/>
      <c r="M714" s="3"/>
      <c r="N714" s="2">
        <v>0</v>
      </c>
      <c r="O714" s="2">
        <v>0</v>
      </c>
      <c r="P714" s="6">
        <v>0</v>
      </c>
      <c r="Q714" s="6">
        <v>0</v>
      </c>
      <c r="R714" s="2">
        <v>0.26666666</v>
      </c>
      <c r="T714" s="41">
        <v>12</v>
      </c>
      <c r="Y714" s="7"/>
      <c r="AA714" s="8"/>
      <c r="AB714" s="9"/>
      <c r="AE714" s="10"/>
      <c r="AF714" s="11"/>
      <c r="AG714"/>
    </row>
    <row r="715" spans="1:33" x14ac:dyDescent="0.2">
      <c r="A715" s="39" t="s">
        <v>424</v>
      </c>
      <c r="B715" s="5" t="s">
        <v>52</v>
      </c>
      <c r="C715" s="2">
        <v>7.2916670000000003E-2</v>
      </c>
      <c r="D715" s="3">
        <v>11.666667</v>
      </c>
      <c r="E715" s="40" t="s">
        <v>419</v>
      </c>
      <c r="F715" s="2"/>
      <c r="G715" s="2">
        <v>0</v>
      </c>
      <c r="H715" s="40"/>
      <c r="I715" s="2">
        <v>0.8125</v>
      </c>
      <c r="J715" s="2">
        <v>0.02</v>
      </c>
      <c r="K715" s="41" t="s">
        <v>425</v>
      </c>
      <c r="M715" s="3"/>
      <c r="N715" s="2">
        <v>0</v>
      </c>
      <c r="O715" s="2">
        <v>0</v>
      </c>
      <c r="P715" s="6">
        <v>0</v>
      </c>
      <c r="Q715" s="6">
        <v>0</v>
      </c>
      <c r="R715" s="2">
        <v>5.7786459999999998E-2</v>
      </c>
      <c r="T715" s="41">
        <v>12</v>
      </c>
      <c r="Y715" s="7"/>
      <c r="AA715" s="8"/>
      <c r="AB715" s="9"/>
      <c r="AE715" s="10"/>
      <c r="AF715" s="11"/>
      <c r="AG715"/>
    </row>
    <row r="716" spans="1:33" x14ac:dyDescent="0.2">
      <c r="A716" s="39" t="s">
        <v>421</v>
      </c>
      <c r="B716" s="5" t="s">
        <v>52</v>
      </c>
      <c r="C716" s="2">
        <v>0.33333332999999998</v>
      </c>
      <c r="D716" s="3">
        <v>53.333333000000003</v>
      </c>
      <c r="E716" s="40" t="s">
        <v>398</v>
      </c>
      <c r="F716" s="2"/>
      <c r="G716" s="2">
        <v>0</v>
      </c>
      <c r="H716" s="40"/>
      <c r="I716" s="2">
        <v>0.8</v>
      </c>
      <c r="J716" s="2">
        <v>0.01</v>
      </c>
      <c r="K716" s="41" t="s">
        <v>58</v>
      </c>
      <c r="M716" s="3"/>
      <c r="N716" s="2">
        <v>0</v>
      </c>
      <c r="O716" s="2">
        <v>0</v>
      </c>
      <c r="P716" s="6">
        <v>0</v>
      </c>
      <c r="Q716" s="6">
        <v>0</v>
      </c>
      <c r="R716" s="2">
        <v>0.26333332999999998</v>
      </c>
      <c r="T716" s="41">
        <v>12</v>
      </c>
      <c r="Y716" s="7"/>
      <c r="AA716" s="8"/>
      <c r="AB716" s="9"/>
      <c r="AE716" s="10"/>
      <c r="AF716" s="11"/>
      <c r="AG716"/>
    </row>
    <row r="717" spans="1:33" x14ac:dyDescent="0.2">
      <c r="A717" s="39" t="s">
        <v>345</v>
      </c>
      <c r="B717" s="5" t="s">
        <v>21</v>
      </c>
      <c r="C717" s="2">
        <v>0.5</v>
      </c>
      <c r="D717" s="3">
        <v>80</v>
      </c>
      <c r="E717" s="40" t="s">
        <v>346</v>
      </c>
      <c r="F717" s="2">
        <v>0.16666666999999999</v>
      </c>
      <c r="G717" s="2">
        <v>0</v>
      </c>
      <c r="H717" s="40"/>
      <c r="I717" s="2"/>
      <c r="J717" s="2">
        <v>0</v>
      </c>
      <c r="K717" s="41"/>
      <c r="M717" s="3"/>
      <c r="N717" s="2">
        <v>0</v>
      </c>
      <c r="O717" s="2">
        <v>0</v>
      </c>
      <c r="P717" s="6">
        <v>0</v>
      </c>
      <c r="Q717" s="6">
        <v>0</v>
      </c>
      <c r="R717" s="2">
        <v>8.3333340000000006E-2</v>
      </c>
      <c r="T717" s="41">
        <v>13</v>
      </c>
      <c r="Y717" s="7"/>
      <c r="AA717" s="8"/>
      <c r="AB717" s="9"/>
      <c r="AE717" s="10"/>
      <c r="AF717" s="11"/>
      <c r="AG717"/>
    </row>
    <row r="718" spans="1:33" ht="38.25" x14ac:dyDescent="0.2">
      <c r="A718" s="39" t="s">
        <v>351</v>
      </c>
      <c r="B718" s="5" t="s">
        <v>21</v>
      </c>
      <c r="C718" s="2">
        <v>0.5</v>
      </c>
      <c r="D718" s="3">
        <v>80</v>
      </c>
      <c r="E718" s="40" t="s">
        <v>352</v>
      </c>
      <c r="F718" s="2">
        <v>0.16666666999999999</v>
      </c>
      <c r="G718" s="2">
        <v>0</v>
      </c>
      <c r="H718" s="40"/>
      <c r="I718" s="2"/>
      <c r="J718" s="2">
        <v>0</v>
      </c>
      <c r="K718" s="41"/>
      <c r="M718" s="3"/>
      <c r="N718" s="2">
        <v>0</v>
      </c>
      <c r="O718" s="2">
        <v>0</v>
      </c>
      <c r="P718" s="6">
        <v>0</v>
      </c>
      <c r="Q718" s="6">
        <v>0</v>
      </c>
      <c r="R718" s="2">
        <v>8.3333340000000006E-2</v>
      </c>
      <c r="T718" s="41">
        <v>13</v>
      </c>
      <c r="Y718" s="7"/>
      <c r="AA718" s="8"/>
      <c r="AB718" s="9"/>
      <c r="AE718" s="10"/>
      <c r="AF718" s="11"/>
      <c r="AG718"/>
    </row>
    <row r="719" spans="1:33" x14ac:dyDescent="0.2">
      <c r="A719" s="39" t="s">
        <v>119</v>
      </c>
      <c r="B719" s="5" t="s">
        <v>13</v>
      </c>
      <c r="C719" s="2"/>
      <c r="D719" s="3"/>
      <c r="E719" s="40"/>
      <c r="F719" s="2"/>
      <c r="G719" s="2">
        <v>0</v>
      </c>
      <c r="H719" s="40"/>
      <c r="I719" s="2"/>
      <c r="J719" s="2">
        <v>0</v>
      </c>
      <c r="K719" s="41"/>
      <c r="M719" s="3">
        <v>0</v>
      </c>
      <c r="N719" s="2">
        <v>0</v>
      </c>
      <c r="O719" s="2">
        <v>0</v>
      </c>
      <c r="P719" s="6">
        <v>0</v>
      </c>
      <c r="Q719" s="6">
        <v>0</v>
      </c>
      <c r="R719" s="2">
        <v>0</v>
      </c>
      <c r="T719" s="41">
        <v>13</v>
      </c>
      <c r="Y719" s="7"/>
      <c r="AA719" s="8"/>
      <c r="AB719" s="9"/>
      <c r="AE719" s="10"/>
      <c r="AF719" s="11"/>
      <c r="AG719"/>
    </row>
    <row r="720" spans="1:33" x14ac:dyDescent="0.2">
      <c r="A720" s="39" t="s">
        <v>29</v>
      </c>
      <c r="B720" s="5" t="s">
        <v>15</v>
      </c>
      <c r="C720" s="2"/>
      <c r="D720" s="3"/>
      <c r="E720" s="40" t="s">
        <v>426</v>
      </c>
      <c r="F720" s="2"/>
      <c r="G720" s="2">
        <v>0</v>
      </c>
      <c r="H720" s="40"/>
      <c r="I720" s="2"/>
      <c r="J720" s="2">
        <v>0</v>
      </c>
      <c r="K720" s="41" t="s">
        <v>30</v>
      </c>
      <c r="L720" s="2">
        <v>1</v>
      </c>
      <c r="M720" s="3">
        <v>160</v>
      </c>
      <c r="N720" s="2">
        <v>0</v>
      </c>
      <c r="O720" s="2">
        <v>0</v>
      </c>
      <c r="P720" s="6">
        <v>3.3333330000000001E-2</v>
      </c>
      <c r="Q720" s="6">
        <v>6.25E-2</v>
      </c>
      <c r="R720" s="2">
        <v>2.0833200000000001E-3</v>
      </c>
      <c r="T720" s="41">
        <v>13</v>
      </c>
      <c r="Y720" s="7"/>
      <c r="AA720" s="8"/>
      <c r="AB720" s="9"/>
      <c r="AE720" s="10"/>
      <c r="AF720" s="11"/>
      <c r="AG720"/>
    </row>
    <row r="721" spans="1:33" x14ac:dyDescent="0.2">
      <c r="A721" s="39" t="s">
        <v>36</v>
      </c>
      <c r="B721" s="5" t="s">
        <v>15</v>
      </c>
      <c r="C721" s="2"/>
      <c r="D721" s="3"/>
      <c r="E721" s="40" t="s">
        <v>426</v>
      </c>
      <c r="F721" s="2"/>
      <c r="G721" s="2">
        <v>0</v>
      </c>
      <c r="H721" s="40"/>
      <c r="I721" s="2"/>
      <c r="J721" s="2">
        <v>0</v>
      </c>
      <c r="K721" s="41" t="s">
        <v>141</v>
      </c>
      <c r="L721" s="2">
        <v>1</v>
      </c>
      <c r="M721" s="3">
        <v>160</v>
      </c>
      <c r="N721" s="2">
        <v>0</v>
      </c>
      <c r="O721" s="2">
        <v>0</v>
      </c>
      <c r="P721" s="6">
        <v>3.3333330000000001E-2</v>
      </c>
      <c r="Q721" s="6">
        <v>2.7799999999999998E-2</v>
      </c>
      <c r="R721" s="2">
        <v>9.2666999999999999E-4</v>
      </c>
      <c r="T721" s="41">
        <v>13</v>
      </c>
      <c r="Y721" s="7"/>
      <c r="AA721" s="8"/>
      <c r="AB721" s="9"/>
      <c r="AE721" s="10"/>
      <c r="AF721" s="11"/>
      <c r="AG721"/>
    </row>
    <row r="722" spans="1:33" x14ac:dyDescent="0.2">
      <c r="A722" s="39" t="s">
        <v>274</v>
      </c>
      <c r="B722" s="5" t="s">
        <v>15</v>
      </c>
      <c r="C722" s="2"/>
      <c r="D722" s="3"/>
      <c r="E722" s="40" t="s">
        <v>426</v>
      </c>
      <c r="F722" s="2"/>
      <c r="G722" s="2">
        <v>0</v>
      </c>
      <c r="H722" s="40"/>
      <c r="I722" s="2"/>
      <c r="J722" s="2">
        <v>0</v>
      </c>
      <c r="K722" s="41" t="s">
        <v>30</v>
      </c>
      <c r="L722" s="2">
        <v>1</v>
      </c>
      <c r="M722" s="3">
        <v>160</v>
      </c>
      <c r="N722" s="2">
        <v>0</v>
      </c>
      <c r="O722" s="2">
        <v>0</v>
      </c>
      <c r="P722" s="6">
        <v>3.3333330000000001E-2</v>
      </c>
      <c r="Q722" s="6">
        <v>3.125E-2</v>
      </c>
      <c r="R722" s="2">
        <v>1.04167E-3</v>
      </c>
      <c r="T722" s="41">
        <v>13</v>
      </c>
      <c r="Y722" s="7"/>
      <c r="AA722" s="8"/>
      <c r="AB722" s="9"/>
      <c r="AE722" s="10"/>
      <c r="AF722" s="11"/>
      <c r="AG722"/>
    </row>
    <row r="723" spans="1:33" x14ac:dyDescent="0.2">
      <c r="A723" s="39" t="s">
        <v>69</v>
      </c>
      <c r="B723" s="5" t="s">
        <v>15</v>
      </c>
      <c r="C723" s="2"/>
      <c r="D723" s="3"/>
      <c r="E723" s="40" t="s">
        <v>426</v>
      </c>
      <c r="F723" s="2"/>
      <c r="G723" s="2">
        <v>0</v>
      </c>
      <c r="H723" s="40"/>
      <c r="I723" s="2"/>
      <c r="J723" s="2">
        <v>0</v>
      </c>
      <c r="K723" s="41" t="s">
        <v>31</v>
      </c>
      <c r="L723" s="2">
        <v>1</v>
      </c>
      <c r="M723" s="3">
        <v>160</v>
      </c>
      <c r="N723" s="2">
        <v>0</v>
      </c>
      <c r="O723" s="2">
        <v>0</v>
      </c>
      <c r="P723" s="6">
        <v>3.3333330000000001E-2</v>
      </c>
      <c r="Q723" s="6">
        <v>0.38884999999999997</v>
      </c>
      <c r="R723" s="2">
        <v>1.296167E-2</v>
      </c>
      <c r="T723" s="41">
        <v>13</v>
      </c>
      <c r="Y723" s="7"/>
      <c r="AA723" s="8"/>
      <c r="AB723" s="9"/>
      <c r="AE723" s="10"/>
      <c r="AF723" s="11"/>
      <c r="AG723"/>
    </row>
    <row r="724" spans="1:33" x14ac:dyDescent="0.2">
      <c r="A724" s="39" t="s">
        <v>279</v>
      </c>
      <c r="B724" s="5" t="s">
        <v>15</v>
      </c>
      <c r="C724" s="2"/>
      <c r="D724" s="3"/>
      <c r="E724" s="40" t="s">
        <v>426</v>
      </c>
      <c r="F724" s="2"/>
      <c r="G724" s="2">
        <v>0</v>
      </c>
      <c r="H724" s="40"/>
      <c r="I724" s="2"/>
      <c r="J724" s="2">
        <v>0</v>
      </c>
      <c r="K724" s="41" t="s">
        <v>30</v>
      </c>
      <c r="L724" s="2">
        <v>1</v>
      </c>
      <c r="M724" s="3">
        <v>160</v>
      </c>
      <c r="N724" s="2">
        <v>0</v>
      </c>
      <c r="O724" s="2">
        <v>0</v>
      </c>
      <c r="P724" s="6">
        <v>3.3333330000000001E-2</v>
      </c>
      <c r="Q724" s="6">
        <v>0.125</v>
      </c>
      <c r="R724" s="2">
        <v>4.16666E-3</v>
      </c>
      <c r="T724" s="41">
        <v>13</v>
      </c>
      <c r="Y724" s="7"/>
      <c r="AA724" s="8"/>
      <c r="AB724" s="9"/>
      <c r="AE724" s="10"/>
      <c r="AF724" s="11"/>
      <c r="AG724"/>
    </row>
    <row r="725" spans="1:33" x14ac:dyDescent="0.2">
      <c r="A725" s="39" t="s">
        <v>280</v>
      </c>
      <c r="B725" s="5" t="s">
        <v>15</v>
      </c>
      <c r="C725" s="2"/>
      <c r="D725" s="3"/>
      <c r="E725" s="40" t="s">
        <v>426</v>
      </c>
      <c r="F725" s="2"/>
      <c r="G725" s="2">
        <v>0</v>
      </c>
      <c r="H725" s="40"/>
      <c r="I725" s="2"/>
      <c r="J725" s="2">
        <v>0</v>
      </c>
      <c r="K725" s="41" t="s">
        <v>147</v>
      </c>
      <c r="L725" s="2">
        <v>1</v>
      </c>
      <c r="M725" s="3">
        <v>160</v>
      </c>
      <c r="N725" s="2">
        <v>0</v>
      </c>
      <c r="O725" s="2">
        <v>0</v>
      </c>
      <c r="P725" s="6">
        <v>1.4999999999999999E-2</v>
      </c>
      <c r="Q725" s="6">
        <v>0.125</v>
      </c>
      <c r="R725" s="2">
        <v>1.8749999999999999E-3</v>
      </c>
      <c r="T725" s="41">
        <v>13</v>
      </c>
      <c r="Y725" s="7"/>
      <c r="AA725" s="8"/>
      <c r="AB725" s="9"/>
      <c r="AE725" s="10"/>
      <c r="AF725" s="11"/>
      <c r="AG725"/>
    </row>
    <row r="726" spans="1:33" x14ac:dyDescent="0.2">
      <c r="A726" s="39" t="s">
        <v>284</v>
      </c>
      <c r="B726" s="5" t="s">
        <v>15</v>
      </c>
      <c r="C726" s="2"/>
      <c r="D726" s="3"/>
      <c r="E726" s="40" t="s">
        <v>426</v>
      </c>
      <c r="F726" s="2"/>
      <c r="G726" s="2">
        <v>0</v>
      </c>
      <c r="H726" s="40"/>
      <c r="I726" s="2"/>
      <c r="J726" s="2">
        <v>0</v>
      </c>
      <c r="K726" s="41" t="s">
        <v>30</v>
      </c>
      <c r="L726" s="2">
        <v>1</v>
      </c>
      <c r="M726" s="3">
        <v>160</v>
      </c>
      <c r="N726" s="2">
        <v>0</v>
      </c>
      <c r="O726" s="2">
        <v>0</v>
      </c>
      <c r="P726" s="6">
        <v>3.3333330000000001E-2</v>
      </c>
      <c r="Q726" s="6">
        <v>3.125E-2</v>
      </c>
      <c r="R726" s="2">
        <v>1.04167E-3</v>
      </c>
      <c r="T726" s="41">
        <v>13</v>
      </c>
      <c r="Y726" s="7"/>
      <c r="AA726" s="8"/>
      <c r="AB726" s="9"/>
      <c r="AE726" s="10"/>
      <c r="AF726" s="11"/>
      <c r="AG726"/>
    </row>
    <row r="727" spans="1:33" x14ac:dyDescent="0.2">
      <c r="A727" s="39" t="s">
        <v>287</v>
      </c>
      <c r="B727" s="5" t="s">
        <v>15</v>
      </c>
      <c r="C727" s="2"/>
      <c r="D727" s="3"/>
      <c r="E727" s="40" t="s">
        <v>426</v>
      </c>
      <c r="F727" s="2"/>
      <c r="G727" s="2">
        <v>0</v>
      </c>
      <c r="H727" s="40"/>
      <c r="I727" s="2"/>
      <c r="J727" s="2">
        <v>0</v>
      </c>
      <c r="K727" s="41" t="s">
        <v>30</v>
      </c>
      <c r="L727" s="2">
        <v>1</v>
      </c>
      <c r="M727" s="3">
        <v>160</v>
      </c>
      <c r="N727" s="2">
        <v>0</v>
      </c>
      <c r="O727" s="2">
        <v>0</v>
      </c>
      <c r="P727" s="6">
        <v>3.3333330000000001E-2</v>
      </c>
      <c r="Q727" s="6">
        <v>6.25E-2</v>
      </c>
      <c r="R727" s="2">
        <v>2.08333E-3</v>
      </c>
      <c r="T727" s="41">
        <v>13</v>
      </c>
      <c r="Y727" s="7"/>
      <c r="AA727" s="8"/>
      <c r="AB727" s="9"/>
      <c r="AE727" s="10"/>
      <c r="AF727" s="11"/>
      <c r="AG727"/>
    </row>
    <row r="728" spans="1:33" x14ac:dyDescent="0.2">
      <c r="A728" s="39" t="s">
        <v>288</v>
      </c>
      <c r="B728" s="5" t="s">
        <v>15</v>
      </c>
      <c r="C728" s="2"/>
      <c r="D728" s="3"/>
      <c r="E728" s="40" t="s">
        <v>426</v>
      </c>
      <c r="F728" s="2"/>
      <c r="G728" s="2">
        <v>0</v>
      </c>
      <c r="H728" s="40"/>
      <c r="I728" s="2"/>
      <c r="J728" s="2">
        <v>0</v>
      </c>
      <c r="K728" s="41" t="s">
        <v>30</v>
      </c>
      <c r="L728" s="2">
        <v>1</v>
      </c>
      <c r="M728" s="3">
        <v>160</v>
      </c>
      <c r="N728" s="2">
        <v>0</v>
      </c>
      <c r="O728" s="2">
        <v>0</v>
      </c>
      <c r="P728" s="6">
        <v>3.3333330000000001E-2</v>
      </c>
      <c r="Q728" s="6">
        <v>0.125</v>
      </c>
      <c r="R728" s="2">
        <v>4.1666699999999999E-3</v>
      </c>
      <c r="T728" s="41">
        <v>13</v>
      </c>
      <c r="Y728" s="7"/>
      <c r="AA728" s="8"/>
      <c r="AB728" s="9"/>
      <c r="AE728" s="10"/>
      <c r="AF728" s="11"/>
      <c r="AG728"/>
    </row>
    <row r="729" spans="1:33" ht="25.5" x14ac:dyDescent="0.2">
      <c r="A729" s="39" t="s">
        <v>289</v>
      </c>
      <c r="B729" s="5" t="s">
        <v>15</v>
      </c>
      <c r="C729" s="2"/>
      <c r="D729" s="3"/>
      <c r="E729" s="40" t="s">
        <v>426</v>
      </c>
      <c r="F729" s="2"/>
      <c r="G729" s="2">
        <v>0</v>
      </c>
      <c r="H729" s="40"/>
      <c r="I729" s="2"/>
      <c r="J729" s="2">
        <v>0</v>
      </c>
      <c r="K729" s="41" t="s">
        <v>141</v>
      </c>
      <c r="L729" s="2">
        <v>1</v>
      </c>
      <c r="M729" s="3">
        <v>160</v>
      </c>
      <c r="N729" s="2">
        <v>0</v>
      </c>
      <c r="O729" s="2">
        <v>0</v>
      </c>
      <c r="P729" s="6">
        <v>3.3333330000000001E-2</v>
      </c>
      <c r="Q729" s="6">
        <v>8.3349999999999994E-2</v>
      </c>
      <c r="R729" s="2">
        <v>2.7783299999999999E-3</v>
      </c>
      <c r="T729" s="41">
        <v>13</v>
      </c>
      <c r="Y729" s="7"/>
      <c r="AA729" s="8"/>
      <c r="AB729" s="9"/>
      <c r="AE729" s="10"/>
      <c r="AF729" s="11"/>
      <c r="AG729"/>
    </row>
    <row r="730" spans="1:33" x14ac:dyDescent="0.2">
      <c r="A730" s="39" t="s">
        <v>291</v>
      </c>
      <c r="B730" s="5" t="s">
        <v>15</v>
      </c>
      <c r="C730" s="2"/>
      <c r="D730" s="3"/>
      <c r="E730" s="40" t="s">
        <v>426</v>
      </c>
      <c r="F730" s="2"/>
      <c r="G730" s="2">
        <v>0</v>
      </c>
      <c r="H730" s="40"/>
      <c r="I730" s="2"/>
      <c r="J730" s="2">
        <v>0</v>
      </c>
      <c r="K730" s="41" t="s">
        <v>151</v>
      </c>
      <c r="L730" s="2">
        <v>1</v>
      </c>
      <c r="M730" s="3">
        <v>160</v>
      </c>
      <c r="N730" s="2">
        <v>0</v>
      </c>
      <c r="O730" s="2">
        <v>0</v>
      </c>
      <c r="P730" s="6">
        <v>3.3333330000000001E-2</v>
      </c>
      <c r="Q730" s="6">
        <v>6.25E-2</v>
      </c>
      <c r="R730" s="2">
        <v>2.08333E-3</v>
      </c>
      <c r="T730" s="41">
        <v>13</v>
      </c>
      <c r="Y730" s="7"/>
      <c r="AA730" s="8"/>
      <c r="AB730" s="9"/>
      <c r="AE730" s="10"/>
      <c r="AF730" s="11"/>
      <c r="AG730"/>
    </row>
    <row r="731" spans="1:33" x14ac:dyDescent="0.2">
      <c r="A731" s="39" t="s">
        <v>79</v>
      </c>
      <c r="B731" s="5" t="s">
        <v>52</v>
      </c>
      <c r="C731" s="2">
        <v>0.125</v>
      </c>
      <c r="D731" s="3">
        <v>20</v>
      </c>
      <c r="E731" s="40" t="s">
        <v>426</v>
      </c>
      <c r="F731" s="2"/>
      <c r="G731" s="2">
        <v>0</v>
      </c>
      <c r="H731" s="40"/>
      <c r="I731" s="2">
        <v>0.83333333330000003</v>
      </c>
      <c r="J731" s="2">
        <v>3.3333330000000001E-2</v>
      </c>
      <c r="K731" s="41" t="s">
        <v>427</v>
      </c>
      <c r="M731" s="3"/>
      <c r="N731" s="2">
        <v>0</v>
      </c>
      <c r="O731" s="2">
        <v>0</v>
      </c>
      <c r="P731" s="6">
        <v>0</v>
      </c>
      <c r="Q731" s="6">
        <v>0</v>
      </c>
      <c r="R731" s="2">
        <v>0.1</v>
      </c>
      <c r="T731" s="41">
        <v>13</v>
      </c>
      <c r="Y731" s="7"/>
      <c r="AA731" s="8"/>
      <c r="AB731" s="9"/>
      <c r="AE731" s="10"/>
      <c r="AF731" s="11"/>
      <c r="AG731"/>
    </row>
    <row r="732" spans="1:33" x14ac:dyDescent="0.2">
      <c r="A732" s="39" t="s">
        <v>82</v>
      </c>
      <c r="B732" s="5" t="s">
        <v>52</v>
      </c>
      <c r="C732" s="2">
        <v>0.125</v>
      </c>
      <c r="D732" s="3">
        <v>20</v>
      </c>
      <c r="E732" s="40" t="s">
        <v>426</v>
      </c>
      <c r="F732" s="2"/>
      <c r="G732" s="2">
        <v>0</v>
      </c>
      <c r="H732" s="40"/>
      <c r="I732" s="2">
        <v>0.83333333330000003</v>
      </c>
      <c r="J732" s="2">
        <v>4.8333330000000001E-2</v>
      </c>
      <c r="K732" s="41" t="s">
        <v>428</v>
      </c>
      <c r="M732" s="3"/>
      <c r="N732" s="2">
        <v>0</v>
      </c>
      <c r="O732" s="2">
        <v>0</v>
      </c>
      <c r="P732" s="6">
        <v>0</v>
      </c>
      <c r="Q732" s="6">
        <v>0</v>
      </c>
      <c r="R732" s="2">
        <v>9.8125000000000004E-2</v>
      </c>
      <c r="T732" s="41">
        <v>13</v>
      </c>
      <c r="Y732" s="7"/>
      <c r="AA732" s="8"/>
      <c r="AB732" s="9"/>
      <c r="AE732" s="10"/>
      <c r="AF732" s="11"/>
      <c r="AG732"/>
    </row>
    <row r="733" spans="1:33" x14ac:dyDescent="0.2">
      <c r="A733" s="39" t="s">
        <v>82</v>
      </c>
      <c r="B733" s="5" t="s">
        <v>52</v>
      </c>
      <c r="C733" s="2">
        <v>0.75</v>
      </c>
      <c r="D733" s="3">
        <v>120</v>
      </c>
      <c r="E733" s="40" t="s">
        <v>426</v>
      </c>
      <c r="F733" s="2"/>
      <c r="G733" s="2">
        <v>0</v>
      </c>
      <c r="H733" s="40"/>
      <c r="I733" s="2">
        <v>0.83333333330000003</v>
      </c>
      <c r="J733" s="2">
        <v>3.3333330000000001E-2</v>
      </c>
      <c r="K733" s="41" t="s">
        <v>427</v>
      </c>
      <c r="M733" s="3"/>
      <c r="N733" s="2">
        <v>0</v>
      </c>
      <c r="O733" s="2">
        <v>0</v>
      </c>
      <c r="P733" s="6">
        <v>0</v>
      </c>
      <c r="Q733" s="6">
        <v>0</v>
      </c>
      <c r="R733" s="2">
        <v>0.6</v>
      </c>
      <c r="T733" s="41">
        <v>13</v>
      </c>
      <c r="Y733" s="7"/>
      <c r="AA733" s="8"/>
      <c r="AB733" s="9"/>
      <c r="AE733" s="10"/>
      <c r="AF733" s="11"/>
      <c r="AG733"/>
    </row>
    <row r="734" spans="1:33" x14ac:dyDescent="0.2">
      <c r="Y734" s="7"/>
      <c r="AA734" s="8"/>
      <c r="AB734" s="9"/>
      <c r="AE734" s="10"/>
      <c r="AF734" s="11"/>
      <c r="AG734"/>
    </row>
    <row r="735" spans="1:33" x14ac:dyDescent="0.2">
      <c r="Y735" s="7"/>
      <c r="AA735" s="8"/>
      <c r="AB735" s="9"/>
      <c r="AE735" s="10"/>
      <c r="AF735" s="11"/>
      <c r="AG735"/>
    </row>
    <row r="736" spans="1:33" x14ac:dyDescent="0.2">
      <c r="Y736" s="7"/>
      <c r="AA736" s="8"/>
      <c r="AB736" s="9"/>
      <c r="AE736" s="10"/>
      <c r="AF736" s="11"/>
      <c r="AG736"/>
    </row>
    <row r="737" spans="25:33" x14ac:dyDescent="0.2">
      <c r="Y737" s="7"/>
      <c r="AA737" s="8"/>
      <c r="AB737" s="9"/>
      <c r="AE737" s="10"/>
      <c r="AF737" s="11"/>
      <c r="AG737"/>
    </row>
    <row r="738" spans="25:33" x14ac:dyDescent="0.2">
      <c r="Y738" s="7"/>
      <c r="AA738" s="8"/>
      <c r="AB738" s="9"/>
      <c r="AE738" s="10"/>
      <c r="AF738" s="11"/>
      <c r="AG738"/>
    </row>
    <row r="739" spans="25:33" x14ac:dyDescent="0.2">
      <c r="Y739" s="7"/>
      <c r="AA739" s="8"/>
      <c r="AB739" s="9"/>
      <c r="AE739" s="10"/>
      <c r="AF739" s="11"/>
      <c r="AG739"/>
    </row>
    <row r="740" spans="25:33" x14ac:dyDescent="0.2">
      <c r="Y740" s="7"/>
      <c r="AA740" s="8"/>
      <c r="AB740" s="9"/>
      <c r="AE740" s="10"/>
      <c r="AF740" s="11"/>
      <c r="AG740"/>
    </row>
    <row r="741" spans="25:33" x14ac:dyDescent="0.2">
      <c r="Y741" s="7"/>
      <c r="AA741" s="8"/>
      <c r="AB741" s="9"/>
      <c r="AE741" s="10"/>
      <c r="AF741" s="11"/>
      <c r="AG741"/>
    </row>
    <row r="742" spans="25:33" x14ac:dyDescent="0.2">
      <c r="Y742" s="7"/>
      <c r="AA742" s="8"/>
      <c r="AB742" s="9"/>
      <c r="AE742" s="10"/>
      <c r="AF742" s="11"/>
      <c r="AG742"/>
    </row>
    <row r="743" spans="25:33" x14ac:dyDescent="0.2">
      <c r="Y743" s="7"/>
      <c r="AA743" s="8"/>
      <c r="AB743" s="9"/>
      <c r="AE743" s="10"/>
      <c r="AF743" s="11"/>
      <c r="AG743"/>
    </row>
    <row r="744" spans="25:33" x14ac:dyDescent="0.2">
      <c r="Y744" s="7"/>
      <c r="AA744" s="8"/>
      <c r="AB744" s="9"/>
      <c r="AE744" s="10"/>
      <c r="AF744" s="11"/>
      <c r="AG744"/>
    </row>
    <row r="745" spans="25:33" x14ac:dyDescent="0.2">
      <c r="Y745" s="7"/>
      <c r="AA745" s="8"/>
      <c r="AB745" s="9"/>
      <c r="AE745" s="10"/>
      <c r="AF745" s="11"/>
      <c r="AG745"/>
    </row>
    <row r="746" spans="25:33" x14ac:dyDescent="0.2">
      <c r="Y746" s="7"/>
      <c r="AA746" s="8"/>
      <c r="AB746" s="9"/>
      <c r="AE746" s="10"/>
      <c r="AF746" s="11"/>
      <c r="AG746"/>
    </row>
    <row r="747" spans="25:33" x14ac:dyDescent="0.2">
      <c r="Y747" s="7"/>
      <c r="AA747" s="8"/>
      <c r="AB747" s="9"/>
      <c r="AE747" s="10"/>
      <c r="AF747" s="11"/>
      <c r="AG747"/>
    </row>
    <row r="748" spans="25:33" x14ac:dyDescent="0.2">
      <c r="Y748" s="7"/>
      <c r="AA748" s="8"/>
      <c r="AB748" s="9"/>
      <c r="AE748" s="10"/>
      <c r="AF748" s="11"/>
      <c r="AG748"/>
    </row>
    <row r="749" spans="25:33" x14ac:dyDescent="0.2">
      <c r="Y749" s="7"/>
      <c r="AA749" s="8"/>
      <c r="AB749" s="9"/>
      <c r="AE749" s="10"/>
      <c r="AF749" s="11"/>
      <c r="AG749"/>
    </row>
    <row r="750" spans="25:33" x14ac:dyDescent="0.2">
      <c r="Y750" s="7"/>
      <c r="AA750" s="8"/>
      <c r="AB750" s="9"/>
      <c r="AE750" s="10"/>
      <c r="AF750" s="11"/>
      <c r="AG750"/>
    </row>
    <row r="751" spans="25:33" x14ac:dyDescent="0.2">
      <c r="Y751" s="7"/>
      <c r="AA751" s="8"/>
      <c r="AB751" s="9"/>
      <c r="AE751" s="10"/>
      <c r="AF751" s="11"/>
      <c r="AG751"/>
    </row>
    <row r="752" spans="25:33" x14ac:dyDescent="0.2">
      <c r="Y752" s="7"/>
      <c r="AA752" s="8"/>
      <c r="AB752" s="9"/>
      <c r="AE752" s="10"/>
      <c r="AF752" s="11"/>
      <c r="AG752"/>
    </row>
    <row r="753" spans="25:33" x14ac:dyDescent="0.2">
      <c r="Y753" s="7"/>
      <c r="AA753" s="8"/>
      <c r="AB753" s="9"/>
      <c r="AE753" s="10"/>
      <c r="AF753" s="11"/>
      <c r="AG753"/>
    </row>
    <row r="754" spans="25:33" x14ac:dyDescent="0.2">
      <c r="Y754" s="7"/>
      <c r="AA754" s="8"/>
      <c r="AB754" s="9"/>
      <c r="AE754" s="10"/>
      <c r="AF754" s="11"/>
      <c r="AG754"/>
    </row>
    <row r="755" spans="25:33" x14ac:dyDescent="0.2">
      <c r="Y755" s="7"/>
      <c r="AA755" s="8"/>
      <c r="AB755" s="9"/>
      <c r="AE755" s="10"/>
      <c r="AF755" s="11"/>
      <c r="AG755"/>
    </row>
    <row r="756" spans="25:33" x14ac:dyDescent="0.2">
      <c r="Y756" s="7"/>
      <c r="AA756" s="8"/>
      <c r="AB756" s="9"/>
      <c r="AE756" s="10"/>
      <c r="AF756" s="11"/>
      <c r="AG756"/>
    </row>
    <row r="757" spans="25:33" x14ac:dyDescent="0.2">
      <c r="Y757" s="7"/>
      <c r="AA757" s="8"/>
      <c r="AB757" s="9"/>
      <c r="AE757" s="10"/>
      <c r="AF757" s="11"/>
      <c r="AG757"/>
    </row>
    <row r="758" spans="25:33" x14ac:dyDescent="0.2">
      <c r="Y758" s="7"/>
      <c r="AA758" s="8"/>
      <c r="AB758" s="9"/>
      <c r="AE758" s="10"/>
      <c r="AF758" s="11"/>
      <c r="AG758"/>
    </row>
    <row r="759" spans="25:33" x14ac:dyDescent="0.2">
      <c r="Y759" s="7"/>
      <c r="AA759" s="8"/>
      <c r="AB759" s="9"/>
      <c r="AE759" s="10"/>
      <c r="AF759" s="11"/>
      <c r="AG759"/>
    </row>
    <row r="760" spans="25:33" x14ac:dyDescent="0.2">
      <c r="Y760" s="7"/>
      <c r="AA760" s="8"/>
      <c r="AB760" s="9"/>
      <c r="AE760" s="10"/>
      <c r="AF760" s="11"/>
      <c r="AG760"/>
    </row>
    <row r="761" spans="25:33" x14ac:dyDescent="0.2">
      <c r="Y761" s="7"/>
      <c r="AA761" s="8"/>
      <c r="AB761" s="9"/>
      <c r="AE761" s="10"/>
      <c r="AF761" s="11"/>
      <c r="AG761"/>
    </row>
    <row r="762" spans="25:33" x14ac:dyDescent="0.2">
      <c r="Y762" s="7"/>
      <c r="AA762" s="8"/>
      <c r="AB762" s="9"/>
      <c r="AE762" s="10"/>
      <c r="AF762" s="11"/>
      <c r="AG762"/>
    </row>
    <row r="763" spans="25:33" x14ac:dyDescent="0.2">
      <c r="Y763" s="7"/>
      <c r="AA763" s="8"/>
      <c r="AB763" s="9"/>
      <c r="AE763" s="10"/>
      <c r="AF763" s="11"/>
      <c r="AG763"/>
    </row>
    <row r="764" spans="25:33" x14ac:dyDescent="0.2">
      <c r="Y764" s="7"/>
      <c r="AA764" s="8"/>
      <c r="AB764" s="9"/>
      <c r="AE764" s="10"/>
      <c r="AF764" s="11"/>
      <c r="AG764"/>
    </row>
    <row r="765" spans="25:33" x14ac:dyDescent="0.2">
      <c r="Y765" s="7"/>
      <c r="AA765" s="8"/>
      <c r="AB765" s="9"/>
      <c r="AE765" s="10"/>
      <c r="AF765" s="11"/>
      <c r="AG765"/>
    </row>
    <row r="766" spans="25:33" x14ac:dyDescent="0.2">
      <c r="Y766" s="7"/>
      <c r="AA766" s="8"/>
      <c r="AB766" s="9"/>
      <c r="AE766" s="10"/>
      <c r="AF766" s="11"/>
      <c r="AG766"/>
    </row>
    <row r="767" spans="25:33" x14ac:dyDescent="0.2">
      <c r="Y767" s="7"/>
      <c r="AA767" s="8"/>
      <c r="AB767" s="9"/>
      <c r="AE767" s="10"/>
      <c r="AF767" s="11"/>
      <c r="AG767"/>
    </row>
    <row r="768" spans="25:33" x14ac:dyDescent="0.2">
      <c r="Y768" s="7"/>
      <c r="AA768" s="8"/>
      <c r="AB768" s="9"/>
      <c r="AE768" s="10"/>
      <c r="AF768" s="11"/>
      <c r="AG768"/>
    </row>
    <row r="769" spans="25:33" x14ac:dyDescent="0.2">
      <c r="Y769" s="7"/>
      <c r="AA769" s="8"/>
      <c r="AB769" s="9"/>
      <c r="AE769" s="10"/>
      <c r="AF769" s="11"/>
      <c r="AG769"/>
    </row>
    <row r="770" spans="25:33" x14ac:dyDescent="0.2">
      <c r="Y770" s="7"/>
      <c r="AA770" s="8"/>
      <c r="AB770" s="9"/>
      <c r="AE770" s="10"/>
      <c r="AF770" s="11"/>
      <c r="AG770"/>
    </row>
    <row r="771" spans="25:33" x14ac:dyDescent="0.2">
      <c r="Y771" s="7"/>
      <c r="AA771" s="8"/>
      <c r="AB771" s="9"/>
      <c r="AE771" s="10"/>
      <c r="AF771" s="11"/>
      <c r="AG771"/>
    </row>
    <row r="772" spans="25:33" x14ac:dyDescent="0.2">
      <c r="Y772" s="7"/>
      <c r="AA772" s="8"/>
      <c r="AB772" s="9"/>
      <c r="AE772" s="10"/>
      <c r="AF772" s="11"/>
      <c r="AG772"/>
    </row>
    <row r="773" spans="25:33" x14ac:dyDescent="0.2">
      <c r="Y773" s="7"/>
      <c r="AA773" s="8"/>
      <c r="AB773" s="9"/>
      <c r="AE773" s="10"/>
      <c r="AF773" s="11"/>
      <c r="AG773"/>
    </row>
    <row r="774" spans="25:33" x14ac:dyDescent="0.2">
      <c r="Y774" s="7"/>
      <c r="AA774" s="8"/>
      <c r="AB774" s="9"/>
      <c r="AE774" s="10"/>
      <c r="AF774" s="11"/>
      <c r="AG774"/>
    </row>
    <row r="775" spans="25:33" x14ac:dyDescent="0.2">
      <c r="Y775" s="7"/>
      <c r="AA775" s="8"/>
      <c r="AB775" s="9"/>
      <c r="AE775" s="10"/>
      <c r="AF775" s="11"/>
      <c r="AG775"/>
    </row>
    <row r="776" spans="25:33" x14ac:dyDescent="0.2">
      <c r="Y776" s="7"/>
      <c r="AA776" s="8"/>
      <c r="AB776" s="9"/>
      <c r="AE776" s="10"/>
      <c r="AF776" s="11"/>
      <c r="AG776"/>
    </row>
    <row r="777" spans="25:33" x14ac:dyDescent="0.2">
      <c r="Y777" s="7"/>
      <c r="AA777" s="8"/>
      <c r="AB777" s="9"/>
      <c r="AE777" s="10"/>
      <c r="AF777" s="11"/>
      <c r="AG777"/>
    </row>
    <row r="778" spans="25:33" x14ac:dyDescent="0.2">
      <c r="Y778" s="7"/>
      <c r="AA778" s="8"/>
      <c r="AB778" s="9"/>
      <c r="AE778" s="10"/>
      <c r="AF778" s="11"/>
      <c r="AG778"/>
    </row>
    <row r="779" spans="25:33" x14ac:dyDescent="0.2">
      <c r="Y779" s="7"/>
      <c r="AA779" s="8"/>
      <c r="AB779" s="9"/>
      <c r="AE779" s="10"/>
      <c r="AF779" s="11"/>
      <c r="AG779"/>
    </row>
    <row r="780" spans="25:33" x14ac:dyDescent="0.2">
      <c r="Y780" s="7"/>
      <c r="AA780" s="8"/>
      <c r="AB780" s="9"/>
      <c r="AE780" s="10"/>
      <c r="AF780" s="11"/>
      <c r="AG780"/>
    </row>
    <row r="781" spans="25:33" x14ac:dyDescent="0.2">
      <c r="Y781" s="7"/>
      <c r="AA781" s="8"/>
      <c r="AB781" s="9"/>
      <c r="AE781" s="10"/>
      <c r="AF781" s="11"/>
      <c r="AG781"/>
    </row>
    <row r="782" spans="25:33" x14ac:dyDescent="0.2">
      <c r="Y782" s="7"/>
      <c r="AA782" s="8"/>
      <c r="AB782" s="9"/>
      <c r="AE782" s="10"/>
      <c r="AF782" s="11"/>
      <c r="AG782"/>
    </row>
    <row r="783" spans="25:33" x14ac:dyDescent="0.2">
      <c r="Y783" s="7"/>
      <c r="AA783" s="8"/>
      <c r="AB783" s="9"/>
      <c r="AE783" s="10"/>
      <c r="AF783" s="11"/>
      <c r="AG783"/>
    </row>
    <row r="784" spans="25:33" x14ac:dyDescent="0.2">
      <c r="Y784" s="7"/>
      <c r="AA784" s="8"/>
      <c r="AB784" s="9"/>
      <c r="AE784" s="10"/>
      <c r="AF784" s="11"/>
      <c r="AG784"/>
    </row>
    <row r="785" spans="25:33" x14ac:dyDescent="0.2">
      <c r="Y785" s="7"/>
      <c r="AA785" s="8"/>
      <c r="AB785" s="9"/>
      <c r="AE785" s="10"/>
      <c r="AF785" s="11"/>
      <c r="AG785"/>
    </row>
    <row r="786" spans="25:33" x14ac:dyDescent="0.2">
      <c r="Y786" s="7"/>
      <c r="AA786" s="8"/>
      <c r="AB786" s="9"/>
      <c r="AE786" s="10"/>
      <c r="AF786" s="11"/>
      <c r="AG786"/>
    </row>
    <row r="787" spans="25:33" x14ac:dyDescent="0.2">
      <c r="Y787" s="7"/>
      <c r="AA787" s="8"/>
      <c r="AB787" s="9"/>
      <c r="AE787" s="10"/>
      <c r="AF787" s="11"/>
      <c r="AG787"/>
    </row>
    <row r="788" spans="25:33" x14ac:dyDescent="0.2">
      <c r="Y788" s="7"/>
      <c r="AA788" s="8"/>
      <c r="AB788" s="9"/>
      <c r="AE788" s="10"/>
      <c r="AF788" s="11"/>
      <c r="AG788"/>
    </row>
    <row r="789" spans="25:33" x14ac:dyDescent="0.2">
      <c r="Y789" s="7"/>
      <c r="AA789" s="8"/>
      <c r="AB789" s="9"/>
      <c r="AE789" s="10"/>
      <c r="AF789" s="11"/>
      <c r="AG789"/>
    </row>
    <row r="790" spans="25:33" x14ac:dyDescent="0.2">
      <c r="Y790" s="7"/>
      <c r="AA790" s="8"/>
      <c r="AB790" s="9"/>
      <c r="AE790" s="10"/>
      <c r="AF790" s="11"/>
      <c r="AG790"/>
    </row>
    <row r="791" spans="25:33" x14ac:dyDescent="0.2">
      <c r="Y791" s="7"/>
      <c r="AA791" s="8"/>
      <c r="AB791" s="9"/>
      <c r="AE791" s="10"/>
      <c r="AF791" s="11"/>
      <c r="AG791"/>
    </row>
    <row r="792" spans="25:33" x14ac:dyDescent="0.2">
      <c r="Y792" s="7"/>
      <c r="AA792" s="8"/>
      <c r="AB792" s="9"/>
      <c r="AE792" s="10"/>
      <c r="AF792" s="11"/>
      <c r="AG792"/>
    </row>
    <row r="793" spans="25:33" x14ac:dyDescent="0.2">
      <c r="Y793" s="7"/>
      <c r="AA793" s="8"/>
      <c r="AB793" s="9"/>
      <c r="AE793" s="10"/>
      <c r="AF793" s="11"/>
      <c r="AG793"/>
    </row>
    <row r="794" spans="25:33" x14ac:dyDescent="0.2">
      <c r="Y794" s="7"/>
      <c r="AA794" s="8"/>
      <c r="AB794" s="9"/>
      <c r="AE794" s="10"/>
      <c r="AF794" s="11"/>
      <c r="AG794"/>
    </row>
    <row r="795" spans="25:33" x14ac:dyDescent="0.2">
      <c r="Y795" s="7"/>
      <c r="AA795" s="8"/>
      <c r="AB795" s="9"/>
      <c r="AE795" s="10"/>
      <c r="AF795" s="11"/>
      <c r="AG795"/>
    </row>
    <row r="796" spans="25:33" x14ac:dyDescent="0.2">
      <c r="Y796" s="7"/>
      <c r="AA796" s="8"/>
      <c r="AB796" s="9"/>
      <c r="AE796" s="10"/>
      <c r="AF796" s="11"/>
      <c r="AG796"/>
    </row>
    <row r="797" spans="25:33" x14ac:dyDescent="0.2">
      <c r="Y797" s="7"/>
      <c r="AA797" s="8"/>
      <c r="AB797" s="9"/>
      <c r="AE797" s="10"/>
      <c r="AF797" s="11"/>
      <c r="AG797"/>
    </row>
    <row r="798" spans="25:33" x14ac:dyDescent="0.2">
      <c r="Y798" s="7"/>
      <c r="AA798" s="8"/>
      <c r="AB798" s="9"/>
      <c r="AE798" s="10"/>
      <c r="AF798" s="11"/>
      <c r="AG798"/>
    </row>
    <row r="799" spans="25:33" x14ac:dyDescent="0.2">
      <c r="Y799" s="7"/>
      <c r="AA799" s="8"/>
      <c r="AB799" s="9"/>
      <c r="AE799" s="10"/>
      <c r="AF799" s="11"/>
      <c r="AG799"/>
    </row>
    <row r="800" spans="25:33" x14ac:dyDescent="0.2">
      <c r="Y800" s="7"/>
      <c r="AA800" s="8"/>
      <c r="AB800" s="9"/>
      <c r="AE800" s="10"/>
      <c r="AF800" s="11"/>
      <c r="AG800"/>
    </row>
    <row r="801" spans="25:33" x14ac:dyDescent="0.2">
      <c r="Y801" s="7"/>
      <c r="AA801" s="8"/>
      <c r="AB801" s="9"/>
      <c r="AE801" s="10"/>
      <c r="AF801" s="11"/>
      <c r="AG801"/>
    </row>
    <row r="802" spans="25:33" x14ac:dyDescent="0.2">
      <c r="Y802" s="7"/>
      <c r="AA802" s="8"/>
      <c r="AB802" s="9"/>
      <c r="AE802" s="10"/>
      <c r="AF802" s="11"/>
      <c r="AG802"/>
    </row>
    <row r="803" spans="25:33" x14ac:dyDescent="0.2">
      <c r="Y803" s="7"/>
      <c r="AA803" s="8"/>
      <c r="AB803" s="9"/>
      <c r="AE803" s="10"/>
      <c r="AF803" s="11"/>
      <c r="AG803"/>
    </row>
    <row r="804" spans="25:33" x14ac:dyDescent="0.2">
      <c r="Y804" s="7"/>
      <c r="AA804" s="8"/>
      <c r="AB804" s="9"/>
      <c r="AE804" s="10"/>
      <c r="AF804" s="11"/>
      <c r="AG804"/>
    </row>
    <row r="805" spans="25:33" x14ac:dyDescent="0.2">
      <c r="Y805" s="7"/>
      <c r="AA805" s="8"/>
      <c r="AB805" s="9"/>
      <c r="AE805" s="10"/>
      <c r="AF805" s="11"/>
      <c r="AG805"/>
    </row>
    <row r="806" spans="25:33" x14ac:dyDescent="0.2">
      <c r="Y806" s="7"/>
      <c r="AA806" s="8"/>
      <c r="AB806" s="9"/>
      <c r="AE806" s="10"/>
      <c r="AF806" s="11"/>
      <c r="AG806"/>
    </row>
    <row r="807" spans="25:33" x14ac:dyDescent="0.2">
      <c r="Y807" s="7"/>
      <c r="AA807" s="8"/>
      <c r="AB807" s="9"/>
      <c r="AE807" s="10"/>
      <c r="AF807" s="11"/>
      <c r="AG807"/>
    </row>
    <row r="808" spans="25:33" x14ac:dyDescent="0.2">
      <c r="Y808" s="7"/>
      <c r="AA808" s="8"/>
      <c r="AB808" s="9"/>
      <c r="AE808" s="10"/>
      <c r="AF808" s="11"/>
      <c r="AG808"/>
    </row>
    <row r="809" spans="25:33" x14ac:dyDescent="0.2">
      <c r="Y809" s="7"/>
      <c r="AA809" s="8"/>
      <c r="AB809" s="9"/>
      <c r="AE809" s="10"/>
      <c r="AF809" s="11"/>
      <c r="AG809"/>
    </row>
    <row r="810" spans="25:33" x14ac:dyDescent="0.2">
      <c r="Y810" s="7"/>
      <c r="AA810" s="8"/>
      <c r="AB810" s="9"/>
      <c r="AE810" s="10"/>
      <c r="AF810" s="11"/>
      <c r="AG810"/>
    </row>
    <row r="811" spans="25:33" x14ac:dyDescent="0.2">
      <c r="Y811" s="7"/>
      <c r="AA811" s="8"/>
      <c r="AB811" s="9"/>
      <c r="AE811" s="10"/>
      <c r="AF811" s="11"/>
      <c r="AG811"/>
    </row>
    <row r="812" spans="25:33" x14ac:dyDescent="0.2">
      <c r="Y812" s="7"/>
      <c r="AA812" s="8"/>
      <c r="AB812" s="9"/>
      <c r="AE812" s="10"/>
      <c r="AF812" s="11"/>
      <c r="AG812"/>
    </row>
    <row r="813" spans="25:33" x14ac:dyDescent="0.2">
      <c r="Y813" s="7"/>
      <c r="AA813" s="8"/>
      <c r="AB813" s="9"/>
      <c r="AE813" s="10"/>
      <c r="AF813" s="11"/>
      <c r="AG813"/>
    </row>
    <row r="814" spans="25:33" x14ac:dyDescent="0.2">
      <c r="Y814" s="7"/>
      <c r="AA814" s="8"/>
      <c r="AB814" s="9"/>
      <c r="AE814" s="10"/>
      <c r="AF814" s="11"/>
      <c r="AG814"/>
    </row>
    <row r="815" spans="25:33" x14ac:dyDescent="0.2">
      <c r="Y815" s="7"/>
      <c r="AA815" s="8"/>
      <c r="AB815" s="9"/>
      <c r="AE815" s="10"/>
      <c r="AF815" s="11"/>
      <c r="AG815"/>
    </row>
    <row r="816" spans="25:33" x14ac:dyDescent="0.2">
      <c r="Y816" s="7"/>
      <c r="AA816" s="8"/>
      <c r="AB816" s="9"/>
      <c r="AE816" s="10"/>
      <c r="AF816" s="11"/>
      <c r="AG816"/>
    </row>
    <row r="817" spans="25:33" x14ac:dyDescent="0.2">
      <c r="Y817" s="7"/>
      <c r="AA817" s="8"/>
      <c r="AB817" s="9"/>
      <c r="AE817" s="10"/>
      <c r="AF817" s="11"/>
      <c r="AG817"/>
    </row>
    <row r="818" spans="25:33" x14ac:dyDescent="0.2">
      <c r="Y818" s="7"/>
      <c r="AA818" s="8"/>
      <c r="AB818" s="9"/>
      <c r="AE818" s="10"/>
      <c r="AF818" s="11"/>
      <c r="AG818"/>
    </row>
    <row r="819" spans="25:33" x14ac:dyDescent="0.2">
      <c r="Y819" s="7"/>
      <c r="AA819" s="8"/>
      <c r="AB819" s="9"/>
      <c r="AE819" s="10"/>
      <c r="AF819" s="11"/>
      <c r="AG819"/>
    </row>
    <row r="820" spans="25:33" x14ac:dyDescent="0.2">
      <c r="Y820" s="7"/>
      <c r="AA820" s="8"/>
      <c r="AB820" s="9"/>
      <c r="AE820" s="10"/>
      <c r="AF820" s="11"/>
      <c r="AG820"/>
    </row>
    <row r="821" spans="25:33" x14ac:dyDescent="0.2">
      <c r="Y821" s="7"/>
      <c r="AA821" s="8"/>
      <c r="AB821" s="9"/>
      <c r="AE821" s="10"/>
      <c r="AF821" s="11"/>
      <c r="AG821"/>
    </row>
    <row r="822" spans="25:33" x14ac:dyDescent="0.2">
      <c r="Y822" s="7"/>
      <c r="AA822" s="8"/>
      <c r="AB822" s="9"/>
      <c r="AE822" s="10"/>
      <c r="AF822" s="11"/>
      <c r="AG822"/>
    </row>
    <row r="823" spans="25:33" x14ac:dyDescent="0.2">
      <c r="Y823" s="7"/>
      <c r="AA823" s="8"/>
      <c r="AB823" s="9"/>
      <c r="AE823" s="10"/>
      <c r="AF823" s="11"/>
      <c r="AG823"/>
    </row>
    <row r="824" spans="25:33" x14ac:dyDescent="0.2">
      <c r="Y824" s="7"/>
      <c r="AA824" s="8"/>
      <c r="AB824" s="9"/>
      <c r="AE824" s="10"/>
      <c r="AF824" s="11"/>
      <c r="AG824"/>
    </row>
    <row r="825" spans="25:33" x14ac:dyDescent="0.2">
      <c r="Y825" s="7"/>
      <c r="AA825" s="8"/>
      <c r="AB825" s="9"/>
      <c r="AE825" s="10"/>
      <c r="AF825" s="11"/>
      <c r="AG825"/>
    </row>
    <row r="826" spans="25:33" x14ac:dyDescent="0.2">
      <c r="Y826" s="7"/>
      <c r="AA826" s="8"/>
      <c r="AB826" s="9"/>
      <c r="AE826" s="10"/>
      <c r="AF826" s="11"/>
      <c r="AG826"/>
    </row>
    <row r="827" spans="25:33" x14ac:dyDescent="0.2">
      <c r="Y827" s="7"/>
      <c r="AA827" s="8"/>
      <c r="AB827" s="9"/>
      <c r="AE827" s="10"/>
      <c r="AF827" s="11"/>
      <c r="AG827"/>
    </row>
    <row r="828" spans="25:33" x14ac:dyDescent="0.2">
      <c r="Y828" s="7"/>
      <c r="AA828" s="8"/>
      <c r="AB828" s="9"/>
      <c r="AE828" s="10"/>
      <c r="AF828" s="11"/>
      <c r="AG828"/>
    </row>
    <row r="829" spans="25:33" x14ac:dyDescent="0.2">
      <c r="Y829" s="7"/>
      <c r="AA829" s="8"/>
      <c r="AB829" s="9"/>
      <c r="AE829" s="10"/>
      <c r="AF829" s="11"/>
      <c r="AG829"/>
    </row>
    <row r="830" spans="25:33" x14ac:dyDescent="0.2">
      <c r="Y830" s="7"/>
      <c r="AA830" s="8"/>
      <c r="AB830" s="9"/>
      <c r="AE830" s="10"/>
      <c r="AF830" s="11"/>
      <c r="AG830"/>
    </row>
    <row r="831" spans="25:33" x14ac:dyDescent="0.2">
      <c r="Y831" s="7"/>
      <c r="AA831" s="8"/>
      <c r="AB831" s="9"/>
      <c r="AE831" s="10"/>
      <c r="AF831" s="11"/>
      <c r="AG831"/>
    </row>
    <row r="832" spans="25:33" x14ac:dyDescent="0.2">
      <c r="Y832" s="7"/>
      <c r="AA832" s="8"/>
      <c r="AB832" s="9"/>
      <c r="AE832" s="10"/>
      <c r="AF832" s="11"/>
      <c r="AG832"/>
    </row>
    <row r="833" spans="25:33" x14ac:dyDescent="0.2">
      <c r="Y833" s="7"/>
      <c r="AA833" s="8"/>
      <c r="AB833" s="9"/>
      <c r="AE833" s="10"/>
      <c r="AF833" s="11"/>
      <c r="AG833"/>
    </row>
    <row r="834" spans="25:33" x14ac:dyDescent="0.2">
      <c r="Y834" s="7"/>
      <c r="AA834" s="8"/>
      <c r="AB834" s="9"/>
      <c r="AE834" s="10"/>
      <c r="AF834" s="11"/>
      <c r="AG834"/>
    </row>
    <row r="835" spans="25:33" x14ac:dyDescent="0.2">
      <c r="Y835" s="7"/>
      <c r="AA835" s="8"/>
      <c r="AB835" s="9"/>
      <c r="AE835" s="10"/>
      <c r="AF835" s="11"/>
      <c r="AG835"/>
    </row>
    <row r="836" spans="25:33" x14ac:dyDescent="0.2">
      <c r="Y836" s="7"/>
      <c r="AA836" s="8"/>
      <c r="AB836" s="9"/>
      <c r="AE836" s="10"/>
      <c r="AF836" s="11"/>
      <c r="AG836"/>
    </row>
    <row r="837" spans="25:33" x14ac:dyDescent="0.2">
      <c r="Y837" s="7"/>
      <c r="AA837" s="8"/>
      <c r="AB837" s="9"/>
      <c r="AE837" s="10"/>
      <c r="AF837" s="11"/>
      <c r="AG837"/>
    </row>
    <row r="838" spans="25:33" x14ac:dyDescent="0.2">
      <c r="Y838" s="7"/>
      <c r="AA838" s="8"/>
      <c r="AB838" s="9"/>
      <c r="AE838" s="10"/>
      <c r="AF838" s="11"/>
      <c r="AG838"/>
    </row>
    <row r="839" spans="25:33" x14ac:dyDescent="0.2">
      <c r="Y839" s="7"/>
      <c r="AA839" s="8"/>
      <c r="AB839" s="9"/>
      <c r="AE839" s="10"/>
      <c r="AF839" s="11"/>
      <c r="AG839"/>
    </row>
    <row r="840" spans="25:33" x14ac:dyDescent="0.2">
      <c r="Y840" s="7"/>
      <c r="AA840" s="8"/>
      <c r="AB840" s="9"/>
      <c r="AE840" s="10"/>
      <c r="AF840" s="11"/>
      <c r="AG840"/>
    </row>
    <row r="841" spans="25:33" x14ac:dyDescent="0.2">
      <c r="Y841" s="7"/>
      <c r="AA841" s="8"/>
      <c r="AB841" s="9"/>
      <c r="AE841" s="10"/>
      <c r="AF841" s="11"/>
      <c r="AG841"/>
    </row>
    <row r="842" spans="25:33" x14ac:dyDescent="0.2">
      <c r="Y842" s="7"/>
      <c r="AA842" s="8"/>
      <c r="AB842" s="9"/>
      <c r="AE842" s="10"/>
      <c r="AF842" s="11"/>
      <c r="AG842"/>
    </row>
    <row r="843" spans="25:33" x14ac:dyDescent="0.2">
      <c r="Y843" s="7"/>
      <c r="AA843" s="8"/>
      <c r="AB843" s="9"/>
      <c r="AE843" s="10"/>
      <c r="AF843" s="11"/>
      <c r="AG843"/>
    </row>
    <row r="844" spans="25:33" x14ac:dyDescent="0.2">
      <c r="Y844" s="7"/>
      <c r="AA844" s="8"/>
      <c r="AB844" s="9"/>
      <c r="AE844" s="10"/>
      <c r="AF844" s="11"/>
      <c r="AG844"/>
    </row>
    <row r="845" spans="25:33" x14ac:dyDescent="0.2">
      <c r="Y845" s="7"/>
      <c r="AA845" s="8"/>
      <c r="AB845" s="9"/>
      <c r="AE845" s="10"/>
      <c r="AF845" s="11"/>
      <c r="AG845"/>
    </row>
    <row r="846" spans="25:33" x14ac:dyDescent="0.2">
      <c r="Y846" s="7"/>
      <c r="AA846" s="8"/>
      <c r="AB846" s="9"/>
      <c r="AE846" s="10"/>
      <c r="AF846" s="11"/>
      <c r="AG846"/>
    </row>
    <row r="847" spans="25:33" x14ac:dyDescent="0.2">
      <c r="Y847" s="7"/>
      <c r="AA847" s="8"/>
      <c r="AB847" s="9"/>
      <c r="AE847" s="10"/>
      <c r="AF847" s="11"/>
      <c r="AG847"/>
    </row>
    <row r="848" spans="25:33" x14ac:dyDescent="0.2">
      <c r="Y848" s="7"/>
      <c r="AA848" s="8"/>
      <c r="AB848" s="9"/>
      <c r="AE848" s="10"/>
      <c r="AF848" s="11"/>
      <c r="AG848"/>
    </row>
    <row r="849" spans="25:33" x14ac:dyDescent="0.2">
      <c r="Y849" s="7"/>
      <c r="AA849" s="8"/>
      <c r="AB849" s="9"/>
      <c r="AE849" s="10"/>
      <c r="AF849" s="11"/>
      <c r="AG849"/>
    </row>
    <row r="850" spans="25:33" x14ac:dyDescent="0.2">
      <c r="Y850" s="7"/>
      <c r="AA850" s="8"/>
      <c r="AB850" s="9"/>
      <c r="AE850" s="10"/>
      <c r="AF850" s="11"/>
      <c r="AG850"/>
    </row>
    <row r="851" spans="25:33" x14ac:dyDescent="0.2">
      <c r="Y851" s="7"/>
      <c r="AA851" s="8"/>
      <c r="AB851" s="9"/>
      <c r="AE851" s="10"/>
      <c r="AF851" s="11"/>
      <c r="AG851"/>
    </row>
    <row r="852" spans="25:33" x14ac:dyDescent="0.2">
      <c r="Y852" s="7"/>
      <c r="AA852" s="8"/>
      <c r="AB852" s="9"/>
      <c r="AE852" s="10"/>
      <c r="AF852" s="11"/>
      <c r="AG852"/>
    </row>
    <row r="853" spans="25:33" x14ac:dyDescent="0.2">
      <c r="Y853" s="7"/>
      <c r="AA853" s="8"/>
      <c r="AB853" s="9"/>
      <c r="AE853" s="10"/>
      <c r="AF853" s="11"/>
      <c r="AG853"/>
    </row>
    <row r="854" spans="25:33" x14ac:dyDescent="0.2">
      <c r="Y854" s="7"/>
      <c r="AA854" s="8"/>
      <c r="AB854" s="9"/>
      <c r="AE854" s="10"/>
      <c r="AF854" s="11"/>
      <c r="AG854"/>
    </row>
    <row r="855" spans="25:33" x14ac:dyDescent="0.2">
      <c r="Y855" s="7"/>
      <c r="AA855" s="8"/>
      <c r="AB855" s="9"/>
      <c r="AE855" s="10"/>
      <c r="AF855" s="11"/>
      <c r="AG855"/>
    </row>
    <row r="856" spans="25:33" x14ac:dyDescent="0.2">
      <c r="Y856" s="7"/>
      <c r="AA856" s="8"/>
      <c r="AB856" s="9"/>
      <c r="AE856" s="10"/>
      <c r="AF856" s="11"/>
      <c r="AG856"/>
    </row>
    <row r="857" spans="25:33" x14ac:dyDescent="0.2">
      <c r="Y857" s="7"/>
      <c r="AA857" s="8"/>
      <c r="AB857" s="9"/>
      <c r="AE857" s="10"/>
      <c r="AF857" s="11"/>
      <c r="AG857"/>
    </row>
    <row r="858" spans="25:33" x14ac:dyDescent="0.2">
      <c r="Y858" s="7"/>
      <c r="AA858" s="8"/>
      <c r="AB858" s="9"/>
      <c r="AE858" s="10"/>
      <c r="AF858" s="11"/>
      <c r="AG858"/>
    </row>
    <row r="859" spans="25:33" x14ac:dyDescent="0.2">
      <c r="Y859" s="7"/>
      <c r="AA859" s="8"/>
      <c r="AB859" s="9"/>
      <c r="AE859" s="10"/>
      <c r="AF859" s="11"/>
      <c r="AG859"/>
    </row>
    <row r="860" spans="25:33" x14ac:dyDescent="0.2">
      <c r="Y860" s="7"/>
      <c r="AA860" s="8"/>
      <c r="AB860" s="9"/>
      <c r="AE860" s="10"/>
      <c r="AF860" s="11"/>
      <c r="AG860"/>
    </row>
    <row r="861" spans="25:33" x14ac:dyDescent="0.2">
      <c r="Y861" s="7"/>
      <c r="AA861" s="8"/>
      <c r="AB861" s="9"/>
      <c r="AE861" s="10"/>
      <c r="AF861" s="11"/>
      <c r="AG861"/>
    </row>
    <row r="862" spans="25:33" x14ac:dyDescent="0.2">
      <c r="Y862" s="7"/>
      <c r="AA862" s="8"/>
      <c r="AB862" s="9"/>
      <c r="AE862" s="10"/>
      <c r="AF862" s="11"/>
      <c r="AG862"/>
    </row>
    <row r="863" spans="25:33" x14ac:dyDescent="0.2">
      <c r="Y863" s="7"/>
      <c r="AA863" s="8"/>
      <c r="AB863" s="9"/>
      <c r="AE863" s="10"/>
      <c r="AF863" s="11"/>
      <c r="AG863"/>
    </row>
    <row r="864" spans="25:33" x14ac:dyDescent="0.2">
      <c r="Y864" s="7"/>
      <c r="AA864" s="8"/>
      <c r="AB864" s="9"/>
      <c r="AE864" s="10"/>
      <c r="AF864" s="11"/>
      <c r="AG864"/>
    </row>
    <row r="865" spans="25:33" x14ac:dyDescent="0.2">
      <c r="Y865" s="7"/>
      <c r="AA865" s="8"/>
      <c r="AB865" s="9"/>
      <c r="AE865" s="10"/>
      <c r="AF865" s="11"/>
      <c r="AG865"/>
    </row>
    <row r="866" spans="25:33" x14ac:dyDescent="0.2">
      <c r="Y866" s="7"/>
      <c r="AA866" s="8"/>
      <c r="AB866" s="9"/>
      <c r="AE866" s="10"/>
      <c r="AF866" s="11"/>
      <c r="AG866"/>
    </row>
    <row r="867" spans="25:33" x14ac:dyDescent="0.2">
      <c r="Y867" s="7"/>
      <c r="AA867" s="8"/>
      <c r="AB867" s="9"/>
      <c r="AE867" s="10"/>
      <c r="AF867" s="11"/>
      <c r="AG867"/>
    </row>
    <row r="868" spans="25:33" x14ac:dyDescent="0.2">
      <c r="Y868" s="7"/>
      <c r="AA868" s="8"/>
      <c r="AB868" s="9"/>
      <c r="AE868" s="10"/>
      <c r="AF868" s="11"/>
      <c r="AG868"/>
    </row>
    <row r="869" spans="25:33" x14ac:dyDescent="0.2">
      <c r="Y869" s="7"/>
      <c r="AA869" s="8"/>
      <c r="AB869" s="9"/>
      <c r="AE869" s="10"/>
      <c r="AF869" s="11"/>
      <c r="AG869"/>
    </row>
    <row r="870" spans="25:33" x14ac:dyDescent="0.2">
      <c r="Y870" s="7"/>
      <c r="AA870" s="8"/>
      <c r="AB870" s="9"/>
      <c r="AE870" s="10"/>
      <c r="AF870" s="11"/>
      <c r="AG870"/>
    </row>
    <row r="871" spans="25:33" x14ac:dyDescent="0.2">
      <c r="Y871" s="7"/>
      <c r="AA871" s="8"/>
      <c r="AB871" s="9"/>
      <c r="AE871" s="10"/>
      <c r="AF871" s="11"/>
      <c r="AG871"/>
    </row>
    <row r="872" spans="25:33" x14ac:dyDescent="0.2">
      <c r="Y872" s="7"/>
      <c r="AA872" s="8"/>
      <c r="AB872" s="9"/>
      <c r="AE872" s="10"/>
      <c r="AF872" s="11"/>
      <c r="AG872"/>
    </row>
    <row r="873" spans="25:33" x14ac:dyDescent="0.2">
      <c r="Y873" s="7"/>
      <c r="AA873" s="8"/>
      <c r="AB873" s="9"/>
      <c r="AE873" s="10"/>
      <c r="AF873" s="11"/>
      <c r="AG873"/>
    </row>
    <row r="874" spans="25:33" x14ac:dyDescent="0.2">
      <c r="Y874" s="7"/>
      <c r="AA874" s="8"/>
      <c r="AB874" s="9"/>
      <c r="AE874" s="10"/>
      <c r="AF874" s="11"/>
      <c r="AG874"/>
    </row>
    <row r="875" spans="25:33" x14ac:dyDescent="0.2">
      <c r="Y875" s="7"/>
      <c r="AA875" s="8"/>
      <c r="AB875" s="9"/>
      <c r="AE875" s="10"/>
      <c r="AF875" s="11"/>
      <c r="AG875"/>
    </row>
    <row r="876" spans="25:33" x14ac:dyDescent="0.2">
      <c r="Y876" s="7"/>
      <c r="AA876" s="8"/>
      <c r="AB876" s="9"/>
      <c r="AE876" s="10"/>
      <c r="AF876" s="11"/>
      <c r="AG876"/>
    </row>
    <row r="877" spans="25:33" x14ac:dyDescent="0.2">
      <c r="Y877" s="7"/>
      <c r="AA877" s="8"/>
      <c r="AB877" s="9"/>
      <c r="AE877" s="10"/>
      <c r="AF877" s="11"/>
      <c r="AG877"/>
    </row>
    <row r="878" spans="25:33" x14ac:dyDescent="0.2">
      <c r="Y878" s="7"/>
      <c r="AA878" s="8"/>
      <c r="AB878" s="9"/>
      <c r="AE878" s="10"/>
      <c r="AF878" s="11"/>
      <c r="AG878"/>
    </row>
    <row r="879" spans="25:33" x14ac:dyDescent="0.2">
      <c r="Y879" s="7"/>
      <c r="AA879" s="8"/>
      <c r="AB879" s="9"/>
      <c r="AE879" s="10"/>
      <c r="AF879" s="11"/>
      <c r="AG879"/>
    </row>
    <row r="880" spans="25:33" x14ac:dyDescent="0.2">
      <c r="Y880" s="7"/>
      <c r="AA880" s="8"/>
      <c r="AB880" s="9"/>
      <c r="AE880" s="10"/>
      <c r="AF880" s="11"/>
      <c r="AG880"/>
    </row>
    <row r="881" spans="25:33" x14ac:dyDescent="0.2">
      <c r="Y881" s="7"/>
      <c r="AA881" s="8"/>
      <c r="AB881" s="9"/>
      <c r="AE881" s="10"/>
      <c r="AF881" s="11"/>
      <c r="AG881"/>
    </row>
    <row r="882" spans="25:33" x14ac:dyDescent="0.2">
      <c r="Y882" s="7"/>
      <c r="AA882" s="8"/>
      <c r="AB882" s="9"/>
      <c r="AE882" s="10"/>
      <c r="AF882" s="11"/>
      <c r="AG882"/>
    </row>
    <row r="883" spans="25:33" x14ac:dyDescent="0.2">
      <c r="Y883" s="7"/>
      <c r="AA883" s="8"/>
      <c r="AB883" s="9"/>
      <c r="AE883" s="10"/>
      <c r="AF883" s="11"/>
      <c r="AG883"/>
    </row>
    <row r="884" spans="25:33" x14ac:dyDescent="0.2">
      <c r="Y884" s="7"/>
      <c r="AA884" s="8"/>
      <c r="AB884" s="9"/>
      <c r="AE884" s="10"/>
      <c r="AF884" s="11"/>
      <c r="AG884"/>
    </row>
    <row r="885" spans="25:33" x14ac:dyDescent="0.2">
      <c r="Y885" s="7"/>
      <c r="AA885" s="8"/>
      <c r="AB885" s="9"/>
      <c r="AE885" s="10"/>
      <c r="AF885" s="11"/>
      <c r="AG885"/>
    </row>
    <row r="886" spans="25:33" x14ac:dyDescent="0.2">
      <c r="Y886" s="7"/>
      <c r="AA886" s="8"/>
      <c r="AB886" s="9"/>
      <c r="AE886" s="10"/>
      <c r="AF886" s="11"/>
      <c r="AG886"/>
    </row>
    <row r="887" spans="25:33" x14ac:dyDescent="0.2">
      <c r="Y887" s="7"/>
      <c r="AA887" s="8"/>
      <c r="AB887" s="9"/>
      <c r="AE887" s="10"/>
      <c r="AF887" s="11"/>
      <c r="AG887"/>
    </row>
    <row r="888" spans="25:33" x14ac:dyDescent="0.2">
      <c r="Y888" s="7"/>
      <c r="AA888" s="8"/>
      <c r="AB888" s="9"/>
      <c r="AE888" s="10"/>
      <c r="AF888" s="11"/>
      <c r="AG888"/>
    </row>
    <row r="889" spans="25:33" x14ac:dyDescent="0.2">
      <c r="Y889" s="7"/>
      <c r="AA889" s="8"/>
      <c r="AB889" s="9"/>
      <c r="AE889" s="10"/>
      <c r="AF889" s="11"/>
      <c r="AG889"/>
    </row>
    <row r="890" spans="25:33" x14ac:dyDescent="0.2">
      <c r="Y890" s="7"/>
      <c r="AA890" s="8"/>
      <c r="AB890" s="9"/>
      <c r="AE890" s="10"/>
      <c r="AF890" s="11"/>
      <c r="AG890"/>
    </row>
    <row r="891" spans="25:33" x14ac:dyDescent="0.2">
      <c r="Y891" s="7"/>
      <c r="AA891" s="8"/>
      <c r="AB891" s="9"/>
      <c r="AE891" s="10"/>
      <c r="AF891" s="11"/>
      <c r="AG891"/>
    </row>
    <row r="892" spans="25:33" x14ac:dyDescent="0.2">
      <c r="Y892" s="7"/>
      <c r="AA892" s="8"/>
      <c r="AB892" s="9"/>
      <c r="AE892" s="10"/>
      <c r="AF892" s="11"/>
      <c r="AG892"/>
    </row>
    <row r="893" spans="25:33" x14ac:dyDescent="0.2">
      <c r="Y893" s="7"/>
      <c r="AA893" s="8"/>
      <c r="AB893" s="9"/>
      <c r="AE893" s="10"/>
      <c r="AF893" s="11"/>
      <c r="AG893"/>
    </row>
    <row r="894" spans="25:33" x14ac:dyDescent="0.2">
      <c r="Y894" s="7"/>
      <c r="AA894" s="8"/>
      <c r="AB894" s="9"/>
      <c r="AE894" s="10"/>
      <c r="AF894" s="11"/>
      <c r="AG894"/>
    </row>
    <row r="895" spans="25:33" x14ac:dyDescent="0.2">
      <c r="Y895" s="7"/>
      <c r="AA895" s="8"/>
      <c r="AB895" s="9"/>
      <c r="AE895" s="10"/>
      <c r="AF895" s="11"/>
      <c r="AG895"/>
    </row>
    <row r="896" spans="25:33" x14ac:dyDescent="0.2">
      <c r="Y896" s="7"/>
      <c r="AA896" s="8"/>
      <c r="AB896" s="9"/>
      <c r="AE896" s="10"/>
      <c r="AF896" s="11"/>
      <c r="AG896"/>
    </row>
    <row r="897" spans="25:33" x14ac:dyDescent="0.2">
      <c r="Y897" s="7"/>
      <c r="AA897" s="8"/>
      <c r="AB897" s="9"/>
      <c r="AE897" s="10"/>
      <c r="AF897" s="11"/>
      <c r="AG897"/>
    </row>
    <row r="898" spans="25:33" x14ac:dyDescent="0.2">
      <c r="Y898" s="7"/>
      <c r="AA898" s="8"/>
      <c r="AB898" s="9"/>
      <c r="AE898" s="10"/>
      <c r="AF898" s="11"/>
      <c r="AG898"/>
    </row>
    <row r="899" spans="25:33" x14ac:dyDescent="0.2">
      <c r="Y899" s="7"/>
      <c r="AA899" s="8"/>
      <c r="AB899" s="9"/>
      <c r="AE899" s="10"/>
      <c r="AF899" s="11"/>
      <c r="AG899"/>
    </row>
    <row r="900" spans="25:33" x14ac:dyDescent="0.2">
      <c r="Y900" s="7"/>
      <c r="AA900" s="8"/>
      <c r="AB900" s="9"/>
      <c r="AE900" s="10"/>
      <c r="AF900" s="11"/>
      <c r="AG900"/>
    </row>
    <row r="901" spans="25:33" x14ac:dyDescent="0.2">
      <c r="Y901" s="7"/>
      <c r="AA901" s="8"/>
      <c r="AB901" s="9"/>
      <c r="AE901" s="10"/>
      <c r="AF901" s="11"/>
      <c r="AG901"/>
    </row>
    <row r="902" spans="25:33" x14ac:dyDescent="0.2">
      <c r="Y902" s="7"/>
      <c r="AA902" s="8"/>
      <c r="AB902" s="9"/>
      <c r="AE902" s="10"/>
      <c r="AF902" s="11"/>
      <c r="AG902"/>
    </row>
    <row r="903" spans="25:33" x14ac:dyDescent="0.2">
      <c r="Y903" s="7"/>
      <c r="AA903" s="8"/>
      <c r="AB903" s="9"/>
      <c r="AE903" s="10"/>
      <c r="AF903" s="11"/>
      <c r="AG903"/>
    </row>
    <row r="904" spans="25:33" x14ac:dyDescent="0.2">
      <c r="Y904" s="7"/>
      <c r="AA904" s="8"/>
      <c r="AB904" s="9"/>
      <c r="AE904" s="10"/>
      <c r="AF904" s="11"/>
      <c r="AG904"/>
    </row>
    <row r="905" spans="25:33" x14ac:dyDescent="0.2">
      <c r="Y905" s="7"/>
      <c r="AA905" s="8"/>
      <c r="AB905" s="9"/>
      <c r="AE905" s="10"/>
      <c r="AF905" s="11"/>
      <c r="AG905"/>
    </row>
    <row r="906" spans="25:33" x14ac:dyDescent="0.2">
      <c r="Y906" s="7"/>
      <c r="AA906" s="8"/>
      <c r="AB906" s="9"/>
      <c r="AE906" s="10"/>
      <c r="AF906" s="11"/>
      <c r="AG906"/>
    </row>
    <row r="907" spans="25:33" x14ac:dyDescent="0.2">
      <c r="Y907" s="7"/>
      <c r="AA907" s="8"/>
      <c r="AB907" s="9"/>
      <c r="AE907" s="10"/>
      <c r="AF907" s="11"/>
      <c r="AG907"/>
    </row>
    <row r="908" spans="25:33" x14ac:dyDescent="0.2">
      <c r="Y908" s="7"/>
      <c r="AA908" s="8"/>
      <c r="AB908" s="9"/>
      <c r="AE908" s="10"/>
      <c r="AF908" s="11"/>
      <c r="AG908"/>
    </row>
    <row r="909" spans="25:33" x14ac:dyDescent="0.2">
      <c r="Y909" s="7"/>
      <c r="AA909" s="8"/>
      <c r="AB909" s="9"/>
      <c r="AE909" s="10"/>
      <c r="AF909" s="11"/>
      <c r="AG909"/>
    </row>
    <row r="910" spans="25:33" x14ac:dyDescent="0.2">
      <c r="Y910" s="7"/>
      <c r="AA910" s="8"/>
      <c r="AB910" s="9"/>
      <c r="AE910" s="10"/>
      <c r="AF910" s="11"/>
      <c r="AG910"/>
    </row>
    <row r="911" spans="25:33" x14ac:dyDescent="0.2">
      <c r="Y911" s="7"/>
      <c r="AA911" s="8"/>
      <c r="AB911" s="9"/>
      <c r="AE911" s="10"/>
      <c r="AF911" s="11"/>
      <c r="AG911"/>
    </row>
    <row r="912" spans="25:33" x14ac:dyDescent="0.2">
      <c r="Y912" s="7"/>
      <c r="AA912" s="8"/>
      <c r="AB912" s="9"/>
      <c r="AE912" s="10"/>
      <c r="AF912" s="11"/>
      <c r="AG912"/>
    </row>
    <row r="913" spans="25:33" x14ac:dyDescent="0.2">
      <c r="Y913" s="7"/>
      <c r="AA913" s="8"/>
      <c r="AB913" s="9"/>
      <c r="AE913" s="10"/>
      <c r="AF913" s="11"/>
      <c r="AG913"/>
    </row>
    <row r="914" spans="25:33" x14ac:dyDescent="0.2">
      <c r="Y914" s="7"/>
      <c r="AA914" s="8"/>
      <c r="AB914" s="9"/>
      <c r="AE914" s="10"/>
      <c r="AF914" s="11"/>
      <c r="AG914"/>
    </row>
    <row r="915" spans="25:33" x14ac:dyDescent="0.2">
      <c r="Y915" s="7"/>
      <c r="AA915" s="8"/>
      <c r="AB915" s="9"/>
      <c r="AE915" s="10"/>
      <c r="AF915" s="11"/>
      <c r="AG915"/>
    </row>
    <row r="916" spans="25:33" x14ac:dyDescent="0.2">
      <c r="Y916" s="7"/>
      <c r="AA916" s="8"/>
      <c r="AB916" s="9"/>
      <c r="AE916" s="10"/>
      <c r="AF916" s="11"/>
      <c r="AG916"/>
    </row>
    <row r="917" spans="25:33" x14ac:dyDescent="0.2">
      <c r="Y917" s="7"/>
      <c r="AA917" s="8"/>
      <c r="AB917" s="9"/>
      <c r="AE917" s="10"/>
      <c r="AF917" s="11"/>
      <c r="AG917"/>
    </row>
    <row r="918" spans="25:33" x14ac:dyDescent="0.2">
      <c r="Y918" s="7"/>
      <c r="AA918" s="8"/>
      <c r="AB918" s="9"/>
      <c r="AE918" s="10"/>
      <c r="AF918" s="11"/>
      <c r="AG918"/>
    </row>
    <row r="919" spans="25:33" x14ac:dyDescent="0.2">
      <c r="Y919" s="7"/>
      <c r="AA919" s="8"/>
      <c r="AB919" s="9"/>
      <c r="AE919" s="10"/>
      <c r="AF919" s="11"/>
      <c r="AG919"/>
    </row>
    <row r="920" spans="25:33" x14ac:dyDescent="0.2">
      <c r="Y920" s="7"/>
      <c r="AA920" s="8"/>
      <c r="AB920" s="9"/>
      <c r="AE920" s="10"/>
      <c r="AF920" s="11"/>
      <c r="AG920"/>
    </row>
    <row r="921" spans="25:33" x14ac:dyDescent="0.2">
      <c r="Y921" s="7"/>
      <c r="AA921" s="8"/>
      <c r="AB921" s="9"/>
      <c r="AE921" s="10"/>
      <c r="AF921" s="11"/>
      <c r="AG921"/>
    </row>
    <row r="922" spans="25:33" x14ac:dyDescent="0.2">
      <c r="Y922" s="7"/>
      <c r="AA922" s="8"/>
      <c r="AB922" s="9"/>
      <c r="AE922" s="10"/>
      <c r="AF922" s="11"/>
      <c r="AG922"/>
    </row>
    <row r="923" spans="25:33" x14ac:dyDescent="0.2">
      <c r="Y923" s="7"/>
      <c r="AA923" s="8"/>
      <c r="AB923" s="9"/>
      <c r="AE923" s="10"/>
      <c r="AF923" s="11"/>
      <c r="AG923"/>
    </row>
    <row r="924" spans="25:33" x14ac:dyDescent="0.2">
      <c r="Y924" s="7"/>
      <c r="AA924" s="8"/>
      <c r="AB924" s="9"/>
      <c r="AE924" s="10"/>
      <c r="AF924" s="11"/>
      <c r="AG924"/>
    </row>
    <row r="925" spans="25:33" x14ac:dyDescent="0.2">
      <c r="Y925" s="7"/>
      <c r="AA925" s="8"/>
      <c r="AB925" s="9"/>
      <c r="AE925" s="10"/>
      <c r="AF925" s="11"/>
      <c r="AG925"/>
    </row>
    <row r="926" spans="25:33" x14ac:dyDescent="0.2">
      <c r="Y926" s="7"/>
      <c r="AA926" s="8"/>
      <c r="AB926" s="9"/>
      <c r="AE926" s="10"/>
      <c r="AF926" s="11"/>
      <c r="AG926"/>
    </row>
    <row r="927" spans="25:33" x14ac:dyDescent="0.2">
      <c r="Y927" s="7"/>
      <c r="AA927" s="8"/>
      <c r="AB927" s="9"/>
      <c r="AE927" s="10"/>
      <c r="AF927" s="11"/>
      <c r="AG927"/>
    </row>
    <row r="928" spans="25:33" x14ac:dyDescent="0.2">
      <c r="Y928" s="7"/>
      <c r="AA928" s="8"/>
      <c r="AB928" s="9"/>
      <c r="AE928" s="10"/>
      <c r="AF928" s="11"/>
      <c r="AG928"/>
    </row>
    <row r="929" spans="25:33" x14ac:dyDescent="0.2">
      <c r="Y929" s="7"/>
      <c r="AA929" s="8"/>
      <c r="AB929" s="9"/>
      <c r="AE929" s="10"/>
      <c r="AF929" s="11"/>
      <c r="AG929"/>
    </row>
    <row r="930" spans="25:33" x14ac:dyDescent="0.2">
      <c r="Y930" s="7"/>
      <c r="AA930" s="8"/>
      <c r="AB930" s="9"/>
      <c r="AE930" s="10"/>
      <c r="AF930" s="11"/>
      <c r="AG930"/>
    </row>
    <row r="931" spans="25:33" x14ac:dyDescent="0.2">
      <c r="Y931" s="7"/>
      <c r="AA931" s="8"/>
      <c r="AB931" s="9"/>
      <c r="AE931" s="10"/>
      <c r="AF931" s="11"/>
      <c r="AG931"/>
    </row>
    <row r="932" spans="25:33" x14ac:dyDescent="0.2">
      <c r="Y932" s="7"/>
      <c r="AA932" s="8"/>
      <c r="AB932" s="9"/>
      <c r="AE932" s="10"/>
      <c r="AF932" s="11"/>
      <c r="AG932"/>
    </row>
    <row r="933" spans="25:33" x14ac:dyDescent="0.2">
      <c r="Y933" s="7"/>
      <c r="AA933" s="8"/>
      <c r="AB933" s="9"/>
      <c r="AE933" s="10"/>
      <c r="AF933" s="11"/>
      <c r="AG933"/>
    </row>
    <row r="934" spans="25:33" x14ac:dyDescent="0.2">
      <c r="Y934" s="7"/>
      <c r="AA934" s="8"/>
      <c r="AB934" s="9"/>
      <c r="AE934" s="10"/>
      <c r="AF934" s="11"/>
      <c r="AG934"/>
    </row>
    <row r="935" spans="25:33" x14ac:dyDescent="0.2">
      <c r="Y935" s="7"/>
      <c r="AA935" s="8"/>
      <c r="AB935" s="9"/>
      <c r="AE935" s="10"/>
      <c r="AF935" s="11"/>
      <c r="AG935"/>
    </row>
    <row r="936" spans="25:33" x14ac:dyDescent="0.2">
      <c r="Y936" s="7"/>
      <c r="AA936" s="8"/>
      <c r="AB936" s="9"/>
      <c r="AE936" s="10"/>
      <c r="AF936" s="11"/>
      <c r="AG936"/>
    </row>
    <row r="937" spans="25:33" x14ac:dyDescent="0.2">
      <c r="Y937" s="7"/>
      <c r="AA937" s="8"/>
      <c r="AB937" s="9"/>
      <c r="AE937" s="10"/>
      <c r="AF937" s="11"/>
      <c r="AG937"/>
    </row>
    <row r="938" spans="25:33" x14ac:dyDescent="0.2">
      <c r="Y938" s="7"/>
      <c r="AA938" s="8"/>
      <c r="AB938" s="9"/>
      <c r="AE938" s="10"/>
      <c r="AF938" s="11"/>
      <c r="AG938"/>
    </row>
    <row r="939" spans="25:33" x14ac:dyDescent="0.2">
      <c r="Y939" s="7"/>
      <c r="AA939" s="8"/>
      <c r="AB939" s="9"/>
      <c r="AE939" s="10"/>
      <c r="AF939" s="11"/>
      <c r="AG939"/>
    </row>
    <row r="940" spans="25:33" x14ac:dyDescent="0.2">
      <c r="Y940" s="7"/>
      <c r="AA940" s="8"/>
      <c r="AB940" s="9"/>
      <c r="AE940" s="10"/>
      <c r="AF940" s="11"/>
      <c r="AG940"/>
    </row>
    <row r="941" spans="25:33" x14ac:dyDescent="0.2">
      <c r="Y941" s="7"/>
      <c r="AA941" s="8"/>
      <c r="AB941" s="9"/>
      <c r="AE941" s="10"/>
      <c r="AF941" s="11"/>
      <c r="AG941"/>
    </row>
    <row r="942" spans="25:33" x14ac:dyDescent="0.2">
      <c r="Y942" s="7"/>
      <c r="AA942" s="8"/>
      <c r="AB942" s="9"/>
      <c r="AE942" s="10"/>
      <c r="AF942" s="11"/>
      <c r="AG942"/>
    </row>
    <row r="943" spans="25:33" x14ac:dyDescent="0.2">
      <c r="Y943" s="7"/>
      <c r="AA943" s="8"/>
      <c r="AB943" s="9"/>
      <c r="AE943" s="10"/>
      <c r="AF943" s="11"/>
      <c r="AG943"/>
    </row>
    <row r="944" spans="25:33" x14ac:dyDescent="0.2">
      <c r="Y944" s="7"/>
      <c r="AA944" s="8"/>
      <c r="AB944" s="9"/>
      <c r="AE944" s="10"/>
      <c r="AF944" s="11"/>
      <c r="AG944"/>
    </row>
    <row r="945" spans="25:33" x14ac:dyDescent="0.2">
      <c r="Y945" s="7"/>
      <c r="AA945" s="8"/>
      <c r="AB945" s="9"/>
      <c r="AE945" s="10"/>
      <c r="AF945" s="11"/>
      <c r="AG945"/>
    </row>
    <row r="946" spans="25:33" x14ac:dyDescent="0.2">
      <c r="Y946" s="7"/>
      <c r="AA946" s="8"/>
      <c r="AB946" s="9"/>
      <c r="AE946" s="10"/>
      <c r="AF946" s="11"/>
      <c r="AG946"/>
    </row>
    <row r="947" spans="25:33" x14ac:dyDescent="0.2">
      <c r="Y947" s="7"/>
      <c r="AA947" s="8"/>
      <c r="AB947" s="9"/>
      <c r="AE947" s="10"/>
      <c r="AF947" s="11"/>
      <c r="AG947"/>
    </row>
    <row r="948" spans="25:33" x14ac:dyDescent="0.2">
      <c r="Y948" s="7"/>
      <c r="AA948" s="8"/>
      <c r="AB948" s="9"/>
      <c r="AE948" s="10"/>
      <c r="AF948" s="11"/>
      <c r="AG948"/>
    </row>
    <row r="949" spans="25:33" x14ac:dyDescent="0.2">
      <c r="Y949" s="7"/>
      <c r="AA949" s="8"/>
      <c r="AB949" s="9"/>
      <c r="AE949" s="10"/>
      <c r="AF949" s="11"/>
      <c r="AG949"/>
    </row>
    <row r="950" spans="25:33" x14ac:dyDescent="0.2">
      <c r="Y950" s="7"/>
      <c r="AA950" s="8"/>
      <c r="AB950" s="9"/>
      <c r="AE950" s="10"/>
      <c r="AF950" s="11"/>
      <c r="AG950"/>
    </row>
    <row r="951" spans="25:33" x14ac:dyDescent="0.2">
      <c r="Y951" s="7"/>
      <c r="AA951" s="8"/>
      <c r="AB951" s="9"/>
      <c r="AE951" s="10"/>
      <c r="AF951" s="11"/>
      <c r="AG951"/>
    </row>
    <row r="952" spans="25:33" x14ac:dyDescent="0.2">
      <c r="Y952" s="7"/>
      <c r="AA952" s="8"/>
      <c r="AB952" s="9"/>
      <c r="AE952" s="10"/>
      <c r="AF952" s="11"/>
      <c r="AG952"/>
    </row>
    <row r="953" spans="25:33" x14ac:dyDescent="0.2">
      <c r="Y953" s="7"/>
      <c r="AA953" s="8"/>
      <c r="AB953" s="9"/>
      <c r="AE953" s="10"/>
      <c r="AF953" s="11"/>
      <c r="AG953"/>
    </row>
    <row r="954" spans="25:33" x14ac:dyDescent="0.2">
      <c r="Y954" s="7"/>
      <c r="AA954" s="8"/>
      <c r="AB954" s="9"/>
      <c r="AE954" s="10"/>
      <c r="AF954" s="11"/>
      <c r="AG954"/>
    </row>
    <row r="955" spans="25:33" x14ac:dyDescent="0.2">
      <c r="Y955" s="7"/>
      <c r="AA955" s="8"/>
      <c r="AB955" s="9"/>
      <c r="AE955" s="10"/>
      <c r="AF955" s="11"/>
      <c r="AG955"/>
    </row>
    <row r="956" spans="25:33" x14ac:dyDescent="0.2">
      <c r="Y956" s="7"/>
      <c r="AA956" s="8"/>
      <c r="AB956" s="9"/>
      <c r="AE956" s="10"/>
      <c r="AF956" s="11"/>
      <c r="AG956"/>
    </row>
    <row r="957" spans="25:33" x14ac:dyDescent="0.2">
      <c r="Y957" s="7"/>
      <c r="AA957" s="8"/>
      <c r="AB957" s="9"/>
      <c r="AE957" s="10"/>
      <c r="AF957" s="11"/>
      <c r="AG957"/>
    </row>
    <row r="958" spans="25:33" x14ac:dyDescent="0.2">
      <c r="Y958" s="7"/>
      <c r="AA958" s="8"/>
      <c r="AB958" s="9"/>
      <c r="AE958" s="10"/>
      <c r="AF958" s="11"/>
      <c r="AG958"/>
    </row>
    <row r="959" spans="25:33" x14ac:dyDescent="0.2">
      <c r="Y959" s="7"/>
      <c r="AA959" s="8"/>
      <c r="AB959" s="9"/>
      <c r="AE959" s="10"/>
      <c r="AF959" s="11"/>
      <c r="AG959"/>
    </row>
    <row r="960" spans="25:33" x14ac:dyDescent="0.2">
      <c r="Y960" s="7"/>
      <c r="AA960" s="8"/>
      <c r="AB960" s="9"/>
      <c r="AE960" s="10"/>
      <c r="AF960" s="11"/>
      <c r="AG960"/>
    </row>
    <row r="961" spans="25:33" x14ac:dyDescent="0.2">
      <c r="Y961" s="7"/>
      <c r="AA961" s="8"/>
      <c r="AB961" s="9"/>
      <c r="AE961" s="10"/>
      <c r="AF961" s="11"/>
      <c r="AG961"/>
    </row>
    <row r="962" spans="25:33" x14ac:dyDescent="0.2">
      <c r="Y962" s="7"/>
      <c r="AA962" s="8"/>
      <c r="AB962" s="9"/>
      <c r="AE962" s="10"/>
      <c r="AF962" s="11"/>
      <c r="AG962"/>
    </row>
    <row r="963" spans="25:33" x14ac:dyDescent="0.2">
      <c r="Y963" s="7"/>
      <c r="AA963" s="8"/>
      <c r="AB963" s="9"/>
      <c r="AE963" s="10"/>
      <c r="AF963" s="11"/>
      <c r="AG963"/>
    </row>
    <row r="964" spans="25:33" x14ac:dyDescent="0.2">
      <c r="Y964" s="7"/>
      <c r="AA964" s="8"/>
      <c r="AB964" s="9"/>
      <c r="AE964" s="10"/>
      <c r="AF964" s="11"/>
      <c r="AG964"/>
    </row>
    <row r="965" spans="25:33" x14ac:dyDescent="0.2">
      <c r="Y965" s="7"/>
      <c r="AA965" s="8"/>
      <c r="AB965" s="9"/>
      <c r="AE965" s="10"/>
      <c r="AF965" s="11"/>
      <c r="AG965"/>
    </row>
    <row r="966" spans="25:33" x14ac:dyDescent="0.2">
      <c r="Y966" s="7"/>
      <c r="AA966" s="8"/>
      <c r="AB966" s="9"/>
      <c r="AE966" s="10"/>
      <c r="AF966" s="11"/>
      <c r="AG966"/>
    </row>
    <row r="967" spans="25:33" x14ac:dyDescent="0.2">
      <c r="Y967" s="7"/>
      <c r="AA967" s="8"/>
      <c r="AB967" s="9"/>
      <c r="AE967" s="10"/>
      <c r="AF967" s="11"/>
      <c r="AG967"/>
    </row>
    <row r="968" spans="25:33" x14ac:dyDescent="0.2">
      <c r="Y968" s="7"/>
      <c r="AA968" s="8"/>
      <c r="AB968" s="9"/>
      <c r="AE968" s="10"/>
      <c r="AF968" s="11"/>
      <c r="AG968"/>
    </row>
    <row r="969" spans="25:33" x14ac:dyDescent="0.2">
      <c r="Y969" s="7"/>
      <c r="AA969" s="8"/>
      <c r="AB969" s="9"/>
      <c r="AE969" s="10"/>
      <c r="AF969" s="11"/>
      <c r="AG969"/>
    </row>
    <row r="970" spans="25:33" x14ac:dyDescent="0.2">
      <c r="Y970" s="7"/>
      <c r="AA970" s="8"/>
      <c r="AB970" s="9"/>
      <c r="AE970" s="10"/>
      <c r="AF970" s="11"/>
      <c r="AG970"/>
    </row>
    <row r="971" spans="25:33" x14ac:dyDescent="0.2">
      <c r="Y971" s="7"/>
      <c r="AA971" s="8"/>
      <c r="AB971" s="9"/>
      <c r="AE971" s="10"/>
      <c r="AF971" s="11"/>
      <c r="AG971"/>
    </row>
    <row r="972" spans="25:33" x14ac:dyDescent="0.2">
      <c r="Y972" s="7"/>
      <c r="AA972" s="8"/>
      <c r="AB972" s="9"/>
      <c r="AE972" s="10"/>
      <c r="AF972" s="11"/>
      <c r="AG972"/>
    </row>
    <row r="973" spans="25:33" x14ac:dyDescent="0.2">
      <c r="Y973" s="7"/>
      <c r="AA973" s="8"/>
      <c r="AB973" s="9"/>
      <c r="AE973" s="10"/>
      <c r="AF973" s="11"/>
      <c r="AG973"/>
    </row>
    <row r="974" spans="25:33" x14ac:dyDescent="0.2">
      <c r="Y974" s="7"/>
      <c r="AA974" s="8"/>
      <c r="AB974" s="9"/>
      <c r="AE974" s="10"/>
      <c r="AF974" s="11"/>
      <c r="AG974"/>
    </row>
    <row r="975" spans="25:33" x14ac:dyDescent="0.2">
      <c r="Y975" s="7"/>
      <c r="AA975" s="8"/>
      <c r="AB975" s="9"/>
      <c r="AE975" s="10"/>
      <c r="AF975" s="11"/>
      <c r="AG975"/>
    </row>
    <row r="976" spans="25:33" x14ac:dyDescent="0.2">
      <c r="Y976" s="7"/>
      <c r="AA976" s="8"/>
      <c r="AB976" s="9"/>
      <c r="AE976" s="10"/>
      <c r="AF976" s="11"/>
      <c r="AG976"/>
    </row>
    <row r="977" spans="25:33" x14ac:dyDescent="0.2">
      <c r="Y977" s="7"/>
      <c r="AA977" s="8"/>
      <c r="AB977" s="9"/>
      <c r="AE977" s="10"/>
      <c r="AF977" s="11"/>
      <c r="AG977"/>
    </row>
    <row r="978" spans="25:33" x14ac:dyDescent="0.2">
      <c r="Y978" s="7"/>
      <c r="AA978" s="8"/>
      <c r="AB978" s="9"/>
      <c r="AE978" s="10"/>
      <c r="AF978" s="11"/>
      <c r="AG978"/>
    </row>
    <row r="979" spans="25:33" x14ac:dyDescent="0.2">
      <c r="Y979" s="7"/>
      <c r="AA979" s="8"/>
      <c r="AB979" s="9"/>
      <c r="AE979" s="10"/>
      <c r="AF979" s="11"/>
      <c r="AG979"/>
    </row>
    <row r="980" spans="25:33" x14ac:dyDescent="0.2">
      <c r="Y980" s="7"/>
      <c r="AA980" s="8"/>
      <c r="AB980" s="9"/>
      <c r="AE980" s="10"/>
      <c r="AF980" s="11"/>
      <c r="AG980"/>
    </row>
    <row r="981" spans="25:33" x14ac:dyDescent="0.2">
      <c r="Y981" s="7"/>
      <c r="AA981" s="8"/>
      <c r="AB981" s="9"/>
      <c r="AE981" s="10"/>
      <c r="AF981" s="11"/>
      <c r="AG981"/>
    </row>
    <row r="982" spans="25:33" x14ac:dyDescent="0.2">
      <c r="Y982" s="7"/>
      <c r="AA982" s="8"/>
      <c r="AB982" s="9"/>
      <c r="AE982" s="10"/>
      <c r="AF982" s="11"/>
      <c r="AG982"/>
    </row>
    <row r="983" spans="25:33" x14ac:dyDescent="0.2">
      <c r="Y983" s="7"/>
      <c r="AA983" s="8"/>
      <c r="AB983" s="9"/>
      <c r="AE983" s="10"/>
      <c r="AF983" s="11"/>
      <c r="AG983"/>
    </row>
    <row r="984" spans="25:33" x14ac:dyDescent="0.2">
      <c r="Y984" s="7"/>
      <c r="AA984" s="8"/>
      <c r="AB984" s="9"/>
      <c r="AE984" s="10"/>
      <c r="AF984" s="11"/>
      <c r="AG984"/>
    </row>
    <row r="985" spans="25:33" x14ac:dyDescent="0.2">
      <c r="Y985" s="7"/>
      <c r="AA985" s="8"/>
      <c r="AB985" s="9"/>
      <c r="AE985" s="10"/>
      <c r="AF985" s="11"/>
      <c r="AG985"/>
    </row>
    <row r="986" spans="25:33" x14ac:dyDescent="0.2">
      <c r="Y986" s="7"/>
      <c r="AA986" s="8"/>
      <c r="AB986" s="9"/>
      <c r="AE986" s="10"/>
      <c r="AF986" s="11"/>
      <c r="AG986"/>
    </row>
    <row r="987" spans="25:33" x14ac:dyDescent="0.2">
      <c r="Y987" s="7"/>
      <c r="AA987" s="8"/>
      <c r="AB987" s="9"/>
      <c r="AE987" s="10"/>
      <c r="AF987" s="11"/>
      <c r="AG987"/>
    </row>
    <row r="988" spans="25:33" x14ac:dyDescent="0.2">
      <c r="Y988" s="7"/>
      <c r="AA988" s="8"/>
      <c r="AB988" s="9"/>
      <c r="AE988" s="10"/>
      <c r="AF988" s="11"/>
      <c r="AG988"/>
    </row>
    <row r="989" spans="25:33" x14ac:dyDescent="0.2">
      <c r="Y989" s="7"/>
      <c r="AA989" s="8"/>
      <c r="AB989" s="9"/>
      <c r="AE989" s="10"/>
      <c r="AF989" s="11"/>
      <c r="AG989"/>
    </row>
    <row r="990" spans="25:33" x14ac:dyDescent="0.2">
      <c r="Y990" s="7"/>
      <c r="AA990" s="8"/>
      <c r="AB990" s="9"/>
      <c r="AE990" s="10"/>
      <c r="AF990" s="11"/>
      <c r="AG990"/>
    </row>
    <row r="991" spans="25:33" x14ac:dyDescent="0.2">
      <c r="Y991" s="7"/>
      <c r="AA991" s="8"/>
      <c r="AB991" s="9"/>
      <c r="AE991" s="10"/>
      <c r="AF991" s="11"/>
      <c r="AG991"/>
    </row>
    <row r="992" spans="25:33" x14ac:dyDescent="0.2">
      <c r="Y992" s="7"/>
      <c r="AA992" s="8"/>
      <c r="AB992" s="9"/>
      <c r="AE992" s="10"/>
      <c r="AF992" s="11"/>
      <c r="AG992"/>
    </row>
    <row r="993" spans="25:33" x14ac:dyDescent="0.2">
      <c r="Y993" s="7"/>
      <c r="AA993" s="8"/>
      <c r="AB993" s="9"/>
      <c r="AE993" s="10"/>
      <c r="AF993" s="11"/>
      <c r="AG993"/>
    </row>
    <row r="994" spans="25:33" x14ac:dyDescent="0.2">
      <c r="Y994" s="7"/>
      <c r="AA994" s="8"/>
      <c r="AB994" s="9"/>
      <c r="AE994" s="10"/>
      <c r="AF994" s="11"/>
      <c r="AG994"/>
    </row>
    <row r="995" spans="25:33" x14ac:dyDescent="0.2">
      <c r="Y995" s="7"/>
      <c r="AA995" s="8"/>
      <c r="AB995" s="9"/>
      <c r="AE995" s="10"/>
      <c r="AF995" s="11"/>
      <c r="AG995"/>
    </row>
    <row r="996" spans="25:33" x14ac:dyDescent="0.2">
      <c r="Y996" s="7"/>
      <c r="AA996" s="8"/>
      <c r="AB996" s="9"/>
      <c r="AE996" s="10"/>
      <c r="AF996" s="11"/>
      <c r="AG996"/>
    </row>
    <row r="997" spans="25:33" x14ac:dyDescent="0.2">
      <c r="Y997" s="7"/>
      <c r="AA997" s="8"/>
      <c r="AB997" s="9"/>
      <c r="AE997" s="10"/>
      <c r="AF997" s="11"/>
      <c r="AG997"/>
    </row>
    <row r="998" spans="25:33" x14ac:dyDescent="0.2">
      <c r="Y998" s="7"/>
      <c r="AA998" s="8"/>
      <c r="AB998" s="9"/>
      <c r="AE998" s="10"/>
      <c r="AF998" s="11"/>
      <c r="AG998"/>
    </row>
    <row r="999" spans="25:33" x14ac:dyDescent="0.2">
      <c r="Y999" s="7"/>
      <c r="AA999" s="8"/>
      <c r="AB999" s="9"/>
      <c r="AE999" s="10"/>
      <c r="AF999" s="11"/>
      <c r="AG999"/>
    </row>
    <row r="1000" spans="25:33" x14ac:dyDescent="0.2">
      <c r="Y1000" s="7"/>
      <c r="AA1000" s="8"/>
      <c r="AB1000" s="9"/>
      <c r="AE1000" s="10"/>
      <c r="AF1000" s="11"/>
      <c r="AG1000"/>
    </row>
    <row r="1001" spans="25:33" x14ac:dyDescent="0.2">
      <c r="Y1001" s="7"/>
      <c r="AA1001" s="8"/>
      <c r="AB1001" s="9"/>
      <c r="AE1001" s="10"/>
      <c r="AF1001" s="11"/>
      <c r="AG1001"/>
    </row>
    <row r="1002" spans="25:33" x14ac:dyDescent="0.2">
      <c r="Y1002" s="7"/>
      <c r="AA1002" s="8"/>
      <c r="AB1002" s="9"/>
      <c r="AE1002" s="10"/>
      <c r="AF1002" s="11"/>
      <c r="AG1002"/>
    </row>
    <row r="1003" spans="25:33" x14ac:dyDescent="0.2">
      <c r="Y1003" s="7"/>
      <c r="AA1003" s="8"/>
      <c r="AB1003" s="9"/>
      <c r="AE1003" s="10"/>
      <c r="AF1003" s="11"/>
      <c r="AG1003"/>
    </row>
    <row r="1004" spans="25:33" x14ac:dyDescent="0.2">
      <c r="Y1004" s="7"/>
      <c r="AA1004" s="8"/>
      <c r="AB1004" s="9"/>
      <c r="AE1004" s="10"/>
      <c r="AF1004" s="11"/>
      <c r="AG1004"/>
    </row>
    <row r="1005" spans="25:33" x14ac:dyDescent="0.2">
      <c r="Y1005" s="7"/>
      <c r="AA1005" s="8"/>
      <c r="AB1005" s="9"/>
      <c r="AE1005" s="10"/>
      <c r="AF1005" s="11"/>
      <c r="AG1005"/>
    </row>
    <row r="1006" spans="25:33" x14ac:dyDescent="0.2">
      <c r="Y1006" s="7"/>
      <c r="AA1006" s="8"/>
      <c r="AB1006" s="9"/>
      <c r="AE1006" s="10"/>
      <c r="AF1006" s="11"/>
      <c r="AG1006"/>
    </row>
    <row r="1007" spans="25:33" x14ac:dyDescent="0.2">
      <c r="Y1007" s="7"/>
      <c r="AA1007" s="8"/>
      <c r="AB1007" s="9"/>
      <c r="AE1007" s="10"/>
      <c r="AF1007" s="11"/>
      <c r="AG1007"/>
    </row>
    <row r="1008" spans="25:33" x14ac:dyDescent="0.2">
      <c r="Y1008" s="7"/>
      <c r="AA1008" s="8"/>
      <c r="AB1008" s="9"/>
      <c r="AE1008" s="10"/>
      <c r="AF1008" s="11"/>
      <c r="AG1008"/>
    </row>
    <row r="1009" spans="25:33" x14ac:dyDescent="0.2">
      <c r="Y1009" s="7"/>
      <c r="AA1009" s="8"/>
      <c r="AB1009" s="9"/>
      <c r="AE1009" s="10"/>
      <c r="AF1009" s="11"/>
      <c r="AG1009"/>
    </row>
    <row r="1010" spans="25:33" x14ac:dyDescent="0.2">
      <c r="Y1010" s="7"/>
      <c r="AA1010" s="8"/>
      <c r="AB1010" s="9"/>
      <c r="AE1010" s="10"/>
      <c r="AF1010" s="11"/>
      <c r="AG1010"/>
    </row>
    <row r="1011" spans="25:33" x14ac:dyDescent="0.2">
      <c r="Y1011" s="7"/>
      <c r="AA1011" s="8"/>
      <c r="AB1011" s="9"/>
      <c r="AE1011" s="10"/>
      <c r="AF1011" s="11"/>
      <c r="AG1011"/>
    </row>
    <row r="1012" spans="25:33" x14ac:dyDescent="0.2">
      <c r="Y1012" s="7"/>
      <c r="AA1012" s="8"/>
      <c r="AB1012" s="9"/>
      <c r="AE1012" s="10"/>
      <c r="AF1012" s="11"/>
      <c r="AG1012"/>
    </row>
    <row r="1013" spans="25:33" x14ac:dyDescent="0.2">
      <c r="Y1013" s="7"/>
      <c r="AA1013" s="8"/>
      <c r="AB1013" s="9"/>
      <c r="AE1013" s="10"/>
      <c r="AF1013" s="11"/>
      <c r="AG1013"/>
    </row>
    <row r="1014" spans="25:33" x14ac:dyDescent="0.2">
      <c r="Y1014" s="7"/>
      <c r="AA1014" s="8"/>
      <c r="AB1014" s="9"/>
      <c r="AE1014" s="10"/>
      <c r="AF1014" s="11"/>
      <c r="AG1014"/>
    </row>
    <row r="1015" spans="25:33" x14ac:dyDescent="0.2">
      <c r="Y1015" s="7"/>
      <c r="AA1015" s="8"/>
      <c r="AB1015" s="9"/>
      <c r="AE1015" s="10"/>
      <c r="AF1015" s="11"/>
      <c r="AG1015"/>
    </row>
    <row r="1016" spans="25:33" x14ac:dyDescent="0.2">
      <c r="Y1016" s="7"/>
      <c r="AA1016" s="8"/>
      <c r="AB1016" s="9"/>
      <c r="AE1016" s="10"/>
      <c r="AF1016" s="11"/>
      <c r="AG1016"/>
    </row>
    <row r="1017" spans="25:33" x14ac:dyDescent="0.2">
      <c r="Y1017" s="7"/>
      <c r="AA1017" s="8"/>
      <c r="AB1017" s="9"/>
      <c r="AE1017" s="10"/>
      <c r="AF1017" s="11"/>
      <c r="AG1017"/>
    </row>
    <row r="1018" spans="25:33" x14ac:dyDescent="0.2">
      <c r="Y1018" s="7"/>
      <c r="AA1018" s="8"/>
      <c r="AB1018" s="9"/>
      <c r="AE1018" s="10"/>
      <c r="AF1018" s="11"/>
      <c r="AG1018"/>
    </row>
    <row r="1019" spans="25:33" x14ac:dyDescent="0.2">
      <c r="Y1019" s="7"/>
      <c r="AA1019" s="8"/>
      <c r="AB1019" s="9"/>
      <c r="AE1019" s="10"/>
      <c r="AF1019" s="11"/>
      <c r="AG1019"/>
    </row>
    <row r="1020" spans="25:33" x14ac:dyDescent="0.2">
      <c r="Y1020" s="7"/>
      <c r="AA1020" s="8"/>
      <c r="AB1020" s="9"/>
      <c r="AE1020" s="10"/>
      <c r="AF1020" s="11"/>
      <c r="AG1020"/>
    </row>
    <row r="1021" spans="25:33" x14ac:dyDescent="0.2">
      <c r="Y1021" s="7"/>
      <c r="AA1021" s="8"/>
      <c r="AB1021" s="9"/>
      <c r="AE1021" s="10"/>
      <c r="AF1021" s="11"/>
      <c r="AG1021"/>
    </row>
    <row r="1022" spans="25:33" x14ac:dyDescent="0.2">
      <c r="Y1022" s="7"/>
      <c r="AA1022" s="8"/>
      <c r="AB1022" s="9"/>
      <c r="AE1022" s="10"/>
      <c r="AF1022" s="11"/>
      <c r="AG1022"/>
    </row>
    <row r="1023" spans="25:33" x14ac:dyDescent="0.2">
      <c r="Y1023" s="7"/>
      <c r="AA1023" s="8"/>
      <c r="AB1023" s="9"/>
      <c r="AE1023" s="10"/>
      <c r="AF1023" s="11"/>
      <c r="AG1023"/>
    </row>
    <row r="1024" spans="25:33" x14ac:dyDescent="0.2">
      <c r="Y1024" s="7"/>
      <c r="AA1024" s="8"/>
      <c r="AB1024" s="9"/>
      <c r="AE1024" s="10"/>
      <c r="AF1024" s="11"/>
      <c r="AG1024"/>
    </row>
    <row r="1025" spans="25:33" x14ac:dyDescent="0.2">
      <c r="Y1025" s="7"/>
      <c r="AA1025" s="8"/>
      <c r="AB1025" s="9"/>
      <c r="AE1025" s="10"/>
      <c r="AF1025" s="11"/>
      <c r="AG1025"/>
    </row>
    <row r="1026" spans="25:33" x14ac:dyDescent="0.2">
      <c r="Y1026" s="7"/>
      <c r="AA1026" s="8"/>
      <c r="AB1026" s="9"/>
      <c r="AE1026" s="10"/>
      <c r="AF1026" s="11"/>
      <c r="AG1026"/>
    </row>
    <row r="1027" spans="25:33" x14ac:dyDescent="0.2">
      <c r="Y1027" s="7"/>
      <c r="AA1027" s="8"/>
      <c r="AB1027" s="9"/>
      <c r="AE1027" s="10"/>
      <c r="AF1027" s="11"/>
      <c r="AG1027"/>
    </row>
    <row r="1028" spans="25:33" x14ac:dyDescent="0.2">
      <c r="Y1028" s="7"/>
      <c r="AA1028" s="8"/>
      <c r="AB1028" s="9"/>
      <c r="AE1028" s="10"/>
      <c r="AF1028" s="11"/>
      <c r="AG1028"/>
    </row>
    <row r="1029" spans="25:33" x14ac:dyDescent="0.2">
      <c r="Y1029" s="7"/>
      <c r="AA1029" s="8"/>
      <c r="AB1029" s="9"/>
      <c r="AE1029" s="10"/>
      <c r="AF1029" s="11"/>
      <c r="AG1029"/>
    </row>
    <row r="1030" spans="25:33" x14ac:dyDescent="0.2">
      <c r="Y1030" s="7"/>
      <c r="AA1030" s="8"/>
      <c r="AB1030" s="9"/>
      <c r="AE1030" s="10"/>
      <c r="AF1030" s="11"/>
      <c r="AG1030"/>
    </row>
    <row r="1031" spans="25:33" x14ac:dyDescent="0.2">
      <c r="Y1031" s="7"/>
      <c r="AA1031" s="8"/>
      <c r="AB1031" s="9"/>
      <c r="AE1031" s="10"/>
      <c r="AF1031" s="11"/>
      <c r="AG1031"/>
    </row>
    <row r="1032" spans="25:33" x14ac:dyDescent="0.2">
      <c r="Y1032" s="7"/>
      <c r="AA1032" s="8"/>
      <c r="AB1032" s="9"/>
      <c r="AE1032" s="10"/>
      <c r="AF1032" s="11"/>
      <c r="AG1032"/>
    </row>
    <row r="1033" spans="25:33" x14ac:dyDescent="0.2">
      <c r="Y1033" s="7"/>
      <c r="AA1033" s="8"/>
      <c r="AB1033" s="9"/>
      <c r="AE1033" s="10"/>
      <c r="AF1033" s="11"/>
      <c r="AG1033"/>
    </row>
    <row r="1034" spans="25:33" x14ac:dyDescent="0.2">
      <c r="Y1034" s="7"/>
      <c r="AA1034" s="8"/>
      <c r="AB1034" s="9"/>
      <c r="AE1034" s="10"/>
      <c r="AF1034" s="11"/>
      <c r="AG1034"/>
    </row>
    <row r="1035" spans="25:33" x14ac:dyDescent="0.2">
      <c r="Y1035" s="7"/>
      <c r="AA1035" s="8"/>
      <c r="AB1035" s="9"/>
      <c r="AE1035" s="10"/>
      <c r="AF1035" s="11"/>
      <c r="AG1035"/>
    </row>
    <row r="1036" spans="25:33" x14ac:dyDescent="0.2">
      <c r="Y1036" s="7"/>
      <c r="AA1036" s="8"/>
      <c r="AB1036" s="9"/>
      <c r="AE1036" s="10"/>
      <c r="AF1036" s="11"/>
      <c r="AG1036"/>
    </row>
    <row r="1037" spans="25:33" x14ac:dyDescent="0.2">
      <c r="Y1037" s="7"/>
      <c r="AA1037" s="8"/>
      <c r="AB1037" s="9"/>
      <c r="AE1037" s="10"/>
      <c r="AF1037" s="11"/>
      <c r="AG1037"/>
    </row>
    <row r="1038" spans="25:33" x14ac:dyDescent="0.2">
      <c r="Y1038" s="7"/>
      <c r="AA1038" s="8"/>
      <c r="AB1038" s="9"/>
      <c r="AE1038" s="10"/>
      <c r="AF1038" s="11"/>
      <c r="AG1038"/>
    </row>
    <row r="1039" spans="25:33" x14ac:dyDescent="0.2">
      <c r="Y1039" s="7"/>
      <c r="AA1039" s="8"/>
      <c r="AB1039" s="9"/>
      <c r="AE1039" s="10"/>
      <c r="AF1039" s="11"/>
      <c r="AG1039"/>
    </row>
    <row r="1040" spans="25:33" x14ac:dyDescent="0.2">
      <c r="Y1040" s="7"/>
      <c r="AA1040" s="8"/>
      <c r="AB1040" s="9"/>
      <c r="AE1040" s="10"/>
      <c r="AF1040" s="11"/>
      <c r="AG1040"/>
    </row>
    <row r="1041" spans="25:33" x14ac:dyDescent="0.2">
      <c r="Y1041" s="7"/>
      <c r="AA1041" s="8"/>
      <c r="AB1041" s="9"/>
      <c r="AE1041" s="10"/>
      <c r="AF1041" s="11"/>
      <c r="AG1041"/>
    </row>
    <row r="1042" spans="25:33" x14ac:dyDescent="0.2">
      <c r="Y1042" s="7"/>
      <c r="AA1042" s="8"/>
      <c r="AB1042" s="9"/>
      <c r="AE1042" s="10"/>
      <c r="AF1042" s="11"/>
      <c r="AG1042"/>
    </row>
    <row r="1043" spans="25:33" x14ac:dyDescent="0.2">
      <c r="Y1043" s="7"/>
      <c r="AA1043" s="8"/>
      <c r="AB1043" s="9"/>
      <c r="AE1043" s="10"/>
      <c r="AF1043" s="11"/>
      <c r="AG1043"/>
    </row>
    <row r="1044" spans="25:33" x14ac:dyDescent="0.2">
      <c r="Y1044" s="7"/>
      <c r="AA1044" s="8"/>
      <c r="AB1044" s="9"/>
      <c r="AE1044" s="10"/>
      <c r="AF1044" s="11"/>
      <c r="AG1044"/>
    </row>
    <row r="1045" spans="25:33" x14ac:dyDescent="0.2">
      <c r="Y1045" s="7"/>
      <c r="AA1045" s="8"/>
      <c r="AB1045" s="9"/>
      <c r="AE1045" s="10"/>
      <c r="AF1045" s="11"/>
      <c r="AG1045"/>
    </row>
    <row r="1046" spans="25:33" x14ac:dyDescent="0.2">
      <c r="Y1046" s="7"/>
      <c r="AA1046" s="8"/>
      <c r="AB1046" s="9"/>
      <c r="AE1046" s="10"/>
      <c r="AF1046" s="11"/>
      <c r="AG1046"/>
    </row>
    <row r="1047" spans="25:33" x14ac:dyDescent="0.2">
      <c r="Y1047" s="7"/>
      <c r="AA1047" s="8"/>
      <c r="AB1047" s="9"/>
      <c r="AE1047" s="10"/>
      <c r="AF1047" s="11"/>
      <c r="AG1047"/>
    </row>
    <row r="1048" spans="25:33" x14ac:dyDescent="0.2">
      <c r="Y1048" s="7"/>
      <c r="AA1048" s="8"/>
      <c r="AB1048" s="9"/>
      <c r="AE1048" s="10"/>
      <c r="AF1048" s="11"/>
      <c r="AG1048"/>
    </row>
    <row r="1049" spans="25:33" x14ac:dyDescent="0.2">
      <c r="Y1049" s="7"/>
      <c r="AA1049" s="8"/>
      <c r="AB1049" s="9"/>
      <c r="AE1049" s="10"/>
      <c r="AF1049" s="11"/>
      <c r="AG1049"/>
    </row>
    <row r="1050" spans="25:33" x14ac:dyDescent="0.2">
      <c r="Y1050" s="7"/>
      <c r="AA1050" s="8"/>
      <c r="AB1050" s="9"/>
      <c r="AE1050" s="10"/>
      <c r="AF1050" s="11"/>
      <c r="AG1050"/>
    </row>
    <row r="1051" spans="25:33" x14ac:dyDescent="0.2">
      <c r="Y1051" s="7"/>
      <c r="AA1051" s="8"/>
      <c r="AB1051" s="9"/>
      <c r="AE1051" s="10"/>
      <c r="AF1051" s="11"/>
      <c r="AG1051"/>
    </row>
    <row r="1052" spans="25:33" x14ac:dyDescent="0.2">
      <c r="Y1052" s="7"/>
      <c r="AA1052" s="8"/>
      <c r="AB1052" s="9"/>
      <c r="AE1052" s="10"/>
      <c r="AF1052" s="11"/>
      <c r="AG1052"/>
    </row>
    <row r="1053" spans="25:33" x14ac:dyDescent="0.2">
      <c r="Y1053" s="7"/>
      <c r="AA1053" s="8"/>
      <c r="AB1053" s="9"/>
      <c r="AE1053" s="10"/>
      <c r="AF1053" s="11"/>
      <c r="AG1053"/>
    </row>
    <row r="1054" spans="25:33" x14ac:dyDescent="0.2">
      <c r="Y1054" s="7"/>
      <c r="AA1054" s="8"/>
      <c r="AB1054" s="9"/>
      <c r="AE1054" s="10"/>
      <c r="AF1054" s="11"/>
      <c r="AG1054"/>
    </row>
    <row r="1055" spans="25:33" x14ac:dyDescent="0.2">
      <c r="Y1055" s="7"/>
      <c r="AA1055" s="8"/>
      <c r="AB1055" s="9"/>
      <c r="AE1055" s="10"/>
      <c r="AF1055" s="11"/>
      <c r="AG1055"/>
    </row>
    <row r="1056" spans="25:33" x14ac:dyDescent="0.2">
      <c r="Y1056" s="7"/>
      <c r="AA1056" s="8"/>
      <c r="AB1056" s="9"/>
      <c r="AE1056" s="10"/>
      <c r="AF1056" s="11"/>
      <c r="AG1056"/>
    </row>
    <row r="1057" spans="25:33" x14ac:dyDescent="0.2">
      <c r="Y1057" s="7"/>
      <c r="AA1057" s="8"/>
      <c r="AB1057" s="9"/>
      <c r="AE1057" s="10"/>
      <c r="AF1057" s="11"/>
      <c r="AG1057"/>
    </row>
    <row r="1058" spans="25:33" x14ac:dyDescent="0.2">
      <c r="Y1058" s="7"/>
      <c r="AA1058" s="8"/>
      <c r="AB1058" s="9"/>
      <c r="AE1058" s="10"/>
      <c r="AF1058" s="11"/>
      <c r="AG1058"/>
    </row>
    <row r="1059" spans="25:33" x14ac:dyDescent="0.2">
      <c r="Y1059" s="7"/>
      <c r="AA1059" s="8"/>
      <c r="AB1059" s="9"/>
      <c r="AE1059" s="10"/>
      <c r="AF1059" s="11"/>
      <c r="AG1059"/>
    </row>
    <row r="1060" spans="25:33" x14ac:dyDescent="0.2">
      <c r="Y1060" s="7"/>
      <c r="AA1060" s="8"/>
      <c r="AB1060" s="9"/>
      <c r="AE1060" s="10"/>
      <c r="AF1060" s="11"/>
      <c r="AG1060"/>
    </row>
    <row r="1061" spans="25:33" x14ac:dyDescent="0.2">
      <c r="Y1061" s="7"/>
      <c r="AA1061" s="8"/>
      <c r="AB1061" s="9"/>
      <c r="AE1061" s="10"/>
      <c r="AF1061" s="11"/>
      <c r="AG1061"/>
    </row>
    <row r="1062" spans="25:33" x14ac:dyDescent="0.2">
      <c r="Y1062" s="7"/>
      <c r="AA1062" s="8"/>
      <c r="AB1062" s="9"/>
      <c r="AE1062" s="10"/>
      <c r="AF1062" s="11"/>
      <c r="AG1062"/>
    </row>
    <row r="1063" spans="25:33" x14ac:dyDescent="0.2">
      <c r="Y1063" s="7"/>
      <c r="AA1063" s="8"/>
      <c r="AB1063" s="9"/>
      <c r="AE1063" s="10"/>
      <c r="AF1063" s="11"/>
      <c r="AG1063"/>
    </row>
    <row r="1064" spans="25:33" x14ac:dyDescent="0.2">
      <c r="Y1064" s="7"/>
      <c r="AA1064" s="8"/>
      <c r="AB1064" s="9"/>
      <c r="AE1064" s="10"/>
      <c r="AF1064" s="11"/>
      <c r="AG1064"/>
    </row>
    <row r="1065" spans="25:33" x14ac:dyDescent="0.2">
      <c r="Y1065" s="7"/>
      <c r="AA1065" s="8"/>
      <c r="AB1065" s="9"/>
      <c r="AE1065" s="10"/>
      <c r="AF1065" s="11"/>
      <c r="AG1065"/>
    </row>
    <row r="1066" spans="25:33" x14ac:dyDescent="0.2">
      <c r="Y1066" s="7"/>
      <c r="AA1066" s="8"/>
      <c r="AB1066" s="9"/>
      <c r="AE1066" s="10"/>
      <c r="AF1066" s="11"/>
      <c r="AG1066"/>
    </row>
    <row r="1067" spans="25:33" x14ac:dyDescent="0.2">
      <c r="Y1067" s="7"/>
      <c r="AA1067" s="8"/>
      <c r="AB1067" s="9"/>
      <c r="AE1067" s="10"/>
      <c r="AF1067" s="11"/>
      <c r="AG1067"/>
    </row>
    <row r="1068" spans="25:33" x14ac:dyDescent="0.2">
      <c r="Y1068" s="7"/>
      <c r="AA1068" s="8"/>
      <c r="AB1068" s="9"/>
      <c r="AE1068" s="10"/>
      <c r="AF1068" s="11"/>
      <c r="AG1068"/>
    </row>
    <row r="1069" spans="25:33" x14ac:dyDescent="0.2">
      <c r="Y1069" s="7"/>
      <c r="AA1069" s="8"/>
      <c r="AB1069" s="9"/>
      <c r="AE1069" s="10"/>
      <c r="AF1069" s="11"/>
      <c r="AG1069"/>
    </row>
    <row r="1070" spans="25:33" x14ac:dyDescent="0.2">
      <c r="Y1070" s="7"/>
      <c r="AA1070" s="8"/>
      <c r="AB1070" s="9"/>
      <c r="AE1070" s="10"/>
      <c r="AF1070" s="11"/>
      <c r="AG1070"/>
    </row>
    <row r="1071" spans="25:33" x14ac:dyDescent="0.2">
      <c r="Y1071" s="7"/>
      <c r="AA1071" s="8"/>
      <c r="AB1071" s="9"/>
      <c r="AE1071" s="10"/>
      <c r="AF1071" s="11"/>
      <c r="AG1071"/>
    </row>
    <row r="1072" spans="25:33" x14ac:dyDescent="0.2">
      <c r="Y1072" s="7"/>
      <c r="AA1072" s="8"/>
      <c r="AB1072" s="9"/>
      <c r="AE1072" s="10"/>
      <c r="AF1072" s="11"/>
      <c r="AG1072"/>
    </row>
    <row r="1073" spans="25:33" x14ac:dyDescent="0.2">
      <c r="Y1073" s="7"/>
      <c r="AA1073" s="8"/>
      <c r="AB1073" s="9"/>
      <c r="AE1073" s="10"/>
      <c r="AF1073" s="11"/>
      <c r="AG1073"/>
    </row>
    <row r="1074" spans="25:33" x14ac:dyDescent="0.2">
      <c r="Y1074" s="7"/>
      <c r="AA1074" s="8"/>
      <c r="AB1074" s="9"/>
      <c r="AE1074" s="10"/>
      <c r="AF1074" s="11"/>
      <c r="AG1074"/>
    </row>
    <row r="1075" spans="25:33" x14ac:dyDescent="0.2">
      <c r="Y1075" s="7"/>
      <c r="AA1075" s="8"/>
      <c r="AB1075" s="9"/>
      <c r="AE1075" s="10"/>
      <c r="AF1075" s="11"/>
      <c r="AG1075"/>
    </row>
    <row r="1076" spans="25:33" x14ac:dyDescent="0.2">
      <c r="Y1076" s="7"/>
      <c r="AA1076" s="8"/>
      <c r="AB1076" s="9"/>
      <c r="AE1076" s="10"/>
      <c r="AF1076" s="11"/>
      <c r="AG1076"/>
    </row>
    <row r="1077" spans="25:33" x14ac:dyDescent="0.2">
      <c r="Y1077" s="7"/>
      <c r="AA1077" s="8"/>
      <c r="AB1077" s="9"/>
      <c r="AE1077" s="10"/>
      <c r="AF1077" s="11"/>
      <c r="AG1077"/>
    </row>
    <row r="1078" spans="25:33" x14ac:dyDescent="0.2">
      <c r="Y1078" s="7"/>
      <c r="AA1078" s="8"/>
      <c r="AB1078" s="9"/>
      <c r="AE1078" s="10"/>
      <c r="AF1078" s="11"/>
      <c r="AG1078"/>
    </row>
    <row r="1079" spans="25:33" x14ac:dyDescent="0.2">
      <c r="Y1079" s="7"/>
      <c r="AA1079" s="8"/>
      <c r="AB1079" s="9"/>
      <c r="AE1079" s="10"/>
      <c r="AF1079" s="11"/>
      <c r="AG1079"/>
    </row>
    <row r="1080" spans="25:33" x14ac:dyDescent="0.2">
      <c r="Y1080" s="7"/>
      <c r="AA1080" s="8"/>
      <c r="AB1080" s="9"/>
      <c r="AE1080" s="10"/>
      <c r="AF1080" s="11"/>
      <c r="AG1080"/>
    </row>
    <row r="1081" spans="25:33" x14ac:dyDescent="0.2">
      <c r="Y1081" s="7"/>
      <c r="AA1081" s="8"/>
      <c r="AB1081" s="9"/>
      <c r="AE1081" s="10"/>
      <c r="AF1081" s="11"/>
      <c r="AG1081"/>
    </row>
    <row r="1082" spans="25:33" x14ac:dyDescent="0.2">
      <c r="Y1082" s="7"/>
      <c r="AA1082" s="8"/>
      <c r="AB1082" s="9"/>
      <c r="AE1082" s="10"/>
      <c r="AF1082" s="11"/>
      <c r="AG1082"/>
    </row>
    <row r="1083" spans="25:33" x14ac:dyDescent="0.2">
      <c r="Y1083" s="7"/>
      <c r="AA1083" s="8"/>
      <c r="AB1083" s="9"/>
      <c r="AE1083" s="10"/>
      <c r="AF1083" s="11"/>
      <c r="AG1083"/>
    </row>
    <row r="1084" spans="25:33" x14ac:dyDescent="0.2">
      <c r="Y1084" s="7"/>
      <c r="AA1084" s="8"/>
      <c r="AB1084" s="9"/>
      <c r="AE1084" s="10"/>
      <c r="AF1084" s="11"/>
      <c r="AG1084"/>
    </row>
    <row r="1085" spans="25:33" x14ac:dyDescent="0.2">
      <c r="Y1085" s="7"/>
      <c r="AA1085" s="8"/>
      <c r="AB1085" s="9"/>
      <c r="AE1085" s="10"/>
      <c r="AF1085" s="11"/>
      <c r="AG1085"/>
    </row>
    <row r="1086" spans="25:33" x14ac:dyDescent="0.2">
      <c r="Y1086" s="7"/>
      <c r="AA1086" s="8"/>
      <c r="AB1086" s="9"/>
      <c r="AE1086" s="10"/>
      <c r="AF1086" s="11"/>
      <c r="AG1086"/>
    </row>
    <row r="1087" spans="25:33" x14ac:dyDescent="0.2">
      <c r="Y1087" s="7"/>
      <c r="AA1087" s="8"/>
      <c r="AB1087" s="9"/>
      <c r="AE1087" s="10"/>
      <c r="AF1087" s="11"/>
      <c r="AG1087"/>
    </row>
    <row r="1088" spans="25:33" x14ac:dyDescent="0.2">
      <c r="Y1088" s="7"/>
      <c r="AA1088" s="8"/>
      <c r="AB1088" s="9"/>
      <c r="AE1088" s="10"/>
      <c r="AF1088" s="11"/>
      <c r="AG1088"/>
    </row>
    <row r="1089" spans="25:33" x14ac:dyDescent="0.2">
      <c r="Y1089" s="7"/>
      <c r="AA1089" s="8"/>
      <c r="AB1089" s="9"/>
      <c r="AE1089" s="10"/>
      <c r="AF1089" s="11"/>
      <c r="AG1089"/>
    </row>
    <row r="1090" spans="25:33" x14ac:dyDescent="0.2">
      <c r="Y1090" s="7"/>
      <c r="AA1090" s="8"/>
      <c r="AB1090" s="9"/>
      <c r="AE1090" s="10"/>
      <c r="AF1090" s="11"/>
      <c r="AG1090"/>
    </row>
    <row r="1091" spans="25:33" x14ac:dyDescent="0.2">
      <c r="Y1091" s="7"/>
      <c r="AA1091" s="8"/>
      <c r="AB1091" s="9"/>
      <c r="AE1091" s="10"/>
      <c r="AF1091" s="11"/>
      <c r="AG1091"/>
    </row>
    <row r="1092" spans="25:33" x14ac:dyDescent="0.2">
      <c r="Y1092" s="7"/>
      <c r="AA1092" s="8"/>
      <c r="AB1092" s="9"/>
      <c r="AE1092" s="10"/>
      <c r="AF1092" s="11"/>
      <c r="AG1092"/>
    </row>
    <row r="1093" spans="25:33" x14ac:dyDescent="0.2">
      <c r="Y1093" s="7"/>
      <c r="AA1093" s="8"/>
      <c r="AB1093" s="9"/>
      <c r="AE1093" s="10"/>
      <c r="AF1093" s="11"/>
      <c r="AG1093"/>
    </row>
    <row r="1094" spans="25:33" x14ac:dyDescent="0.2">
      <c r="Y1094" s="7"/>
      <c r="AA1094" s="8"/>
      <c r="AB1094" s="9"/>
      <c r="AE1094" s="10"/>
      <c r="AF1094" s="11"/>
      <c r="AG1094"/>
    </row>
    <row r="1095" spans="25:33" x14ac:dyDescent="0.2">
      <c r="Y1095" s="7"/>
      <c r="AA1095" s="8"/>
      <c r="AB1095" s="9"/>
      <c r="AE1095" s="10"/>
      <c r="AF1095" s="11"/>
      <c r="AG1095"/>
    </row>
    <row r="1096" spans="25:33" x14ac:dyDescent="0.2">
      <c r="Y1096" s="7"/>
      <c r="AA1096" s="8"/>
      <c r="AB1096" s="9"/>
      <c r="AE1096" s="10"/>
      <c r="AF1096" s="11"/>
      <c r="AG1096"/>
    </row>
    <row r="1097" spans="25:33" x14ac:dyDescent="0.2">
      <c r="Y1097" s="7"/>
      <c r="AA1097" s="8"/>
      <c r="AB1097" s="9"/>
      <c r="AE1097" s="10"/>
      <c r="AF1097" s="11"/>
      <c r="AG1097"/>
    </row>
    <row r="1098" spans="25:33" x14ac:dyDescent="0.2">
      <c r="Y1098" s="7"/>
      <c r="AA1098" s="8"/>
      <c r="AB1098" s="9"/>
      <c r="AE1098" s="10"/>
      <c r="AF1098" s="11"/>
      <c r="AG1098"/>
    </row>
    <row r="1099" spans="25:33" x14ac:dyDescent="0.2">
      <c r="Y1099" s="7"/>
      <c r="AA1099" s="8"/>
      <c r="AB1099" s="9"/>
      <c r="AE1099" s="10"/>
      <c r="AF1099" s="11"/>
      <c r="AG1099"/>
    </row>
    <row r="1100" spans="25:33" x14ac:dyDescent="0.2">
      <c r="Y1100" s="7"/>
      <c r="AA1100" s="8"/>
      <c r="AB1100" s="9"/>
      <c r="AE1100" s="10"/>
      <c r="AF1100" s="11"/>
      <c r="AG1100"/>
    </row>
    <row r="1101" spans="25:33" x14ac:dyDescent="0.2">
      <c r="Y1101" s="7"/>
      <c r="AA1101" s="8"/>
      <c r="AB1101" s="9"/>
      <c r="AE1101" s="10"/>
      <c r="AF1101" s="11"/>
      <c r="AG1101"/>
    </row>
    <row r="1102" spans="25:33" x14ac:dyDescent="0.2">
      <c r="Y1102" s="7"/>
      <c r="AA1102" s="8"/>
      <c r="AB1102" s="9"/>
      <c r="AE1102" s="10"/>
      <c r="AF1102" s="11"/>
      <c r="AG1102"/>
    </row>
    <row r="1103" spans="25:33" x14ac:dyDescent="0.2">
      <c r="Y1103" s="7"/>
      <c r="AA1103" s="8"/>
      <c r="AB1103" s="9"/>
      <c r="AE1103" s="10"/>
      <c r="AF1103" s="11"/>
      <c r="AG1103"/>
    </row>
    <row r="1104" spans="25:33" x14ac:dyDescent="0.2">
      <c r="Y1104" s="7"/>
      <c r="AA1104" s="8"/>
      <c r="AB1104" s="9"/>
      <c r="AE1104" s="10"/>
      <c r="AF1104" s="11"/>
      <c r="AG1104"/>
    </row>
    <row r="1105" spans="25:33" x14ac:dyDescent="0.2">
      <c r="Y1105" s="7"/>
      <c r="AA1105" s="8"/>
      <c r="AB1105" s="9"/>
      <c r="AE1105" s="10"/>
      <c r="AF1105" s="11"/>
      <c r="AG1105"/>
    </row>
    <row r="1106" spans="25:33" x14ac:dyDescent="0.2">
      <c r="Y1106" s="7"/>
      <c r="AA1106" s="8"/>
      <c r="AB1106" s="9"/>
      <c r="AE1106" s="10"/>
      <c r="AF1106" s="11"/>
      <c r="AG1106"/>
    </row>
    <row r="1107" spans="25:33" x14ac:dyDescent="0.2">
      <c r="Y1107" s="7"/>
      <c r="AA1107" s="8"/>
      <c r="AB1107" s="9"/>
      <c r="AE1107" s="10"/>
      <c r="AF1107" s="11"/>
      <c r="AG1107"/>
    </row>
    <row r="1108" spans="25:33" x14ac:dyDescent="0.2">
      <c r="Y1108" s="7"/>
      <c r="AA1108" s="8"/>
      <c r="AB1108" s="9"/>
      <c r="AE1108" s="10"/>
      <c r="AF1108" s="11"/>
      <c r="AG1108"/>
    </row>
    <row r="1109" spans="25:33" x14ac:dyDescent="0.2">
      <c r="Y1109" s="7"/>
      <c r="AA1109" s="8"/>
      <c r="AB1109" s="9"/>
      <c r="AE1109" s="10"/>
      <c r="AF1109" s="11"/>
      <c r="AG1109"/>
    </row>
    <row r="1110" spans="25:33" x14ac:dyDescent="0.2">
      <c r="Y1110" s="7"/>
      <c r="AA1110" s="8"/>
      <c r="AB1110" s="9"/>
      <c r="AE1110" s="10"/>
      <c r="AF1110" s="11"/>
      <c r="AG1110"/>
    </row>
    <row r="1111" spans="25:33" x14ac:dyDescent="0.2">
      <c r="Y1111" s="7"/>
      <c r="AA1111" s="8"/>
      <c r="AB1111" s="9"/>
      <c r="AE1111" s="10"/>
      <c r="AF1111" s="11"/>
      <c r="AG1111"/>
    </row>
    <row r="1112" spans="25:33" x14ac:dyDescent="0.2">
      <c r="Y1112" s="7"/>
      <c r="AA1112" s="8"/>
      <c r="AB1112" s="9"/>
      <c r="AE1112" s="10"/>
      <c r="AF1112" s="11"/>
      <c r="AG1112"/>
    </row>
    <row r="1113" spans="25:33" x14ac:dyDescent="0.2">
      <c r="Y1113" s="7"/>
      <c r="AA1113" s="8"/>
      <c r="AB1113" s="9"/>
      <c r="AE1113" s="10"/>
      <c r="AF1113" s="11"/>
      <c r="AG1113"/>
    </row>
    <row r="1114" spans="25:33" x14ac:dyDescent="0.2">
      <c r="Y1114" s="7"/>
      <c r="AA1114" s="8"/>
      <c r="AB1114" s="9"/>
      <c r="AE1114" s="10"/>
      <c r="AF1114" s="11"/>
      <c r="AG1114"/>
    </row>
    <row r="1115" spans="25:33" x14ac:dyDescent="0.2">
      <c r="Y1115" s="7"/>
      <c r="AA1115" s="8"/>
      <c r="AB1115" s="9"/>
      <c r="AE1115" s="10"/>
      <c r="AF1115" s="11"/>
      <c r="AG1115"/>
    </row>
    <row r="1116" spans="25:33" x14ac:dyDescent="0.2">
      <c r="Y1116" s="7"/>
      <c r="AA1116" s="8"/>
      <c r="AB1116" s="9"/>
      <c r="AE1116" s="10"/>
      <c r="AF1116" s="11"/>
      <c r="AG1116"/>
    </row>
    <row r="1117" spans="25:33" x14ac:dyDescent="0.2">
      <c r="Y1117" s="7"/>
      <c r="AA1117" s="8"/>
      <c r="AB1117" s="9"/>
      <c r="AE1117" s="10"/>
      <c r="AF1117" s="11"/>
      <c r="AG1117"/>
    </row>
    <row r="1118" spans="25:33" x14ac:dyDescent="0.2">
      <c r="Y1118" s="7"/>
      <c r="AA1118" s="8"/>
      <c r="AB1118" s="9"/>
      <c r="AE1118" s="10"/>
      <c r="AF1118" s="11"/>
      <c r="AG1118"/>
    </row>
    <row r="1119" spans="25:33" x14ac:dyDescent="0.2">
      <c r="Y1119" s="7"/>
      <c r="AA1119" s="8"/>
      <c r="AB1119" s="9"/>
      <c r="AE1119" s="10"/>
      <c r="AF1119" s="11"/>
      <c r="AG1119"/>
    </row>
    <row r="1120" spans="25:33" x14ac:dyDescent="0.2">
      <c r="Y1120" s="7"/>
      <c r="AA1120" s="8"/>
      <c r="AB1120" s="9"/>
      <c r="AE1120" s="10"/>
      <c r="AF1120" s="11"/>
      <c r="AG1120"/>
    </row>
    <row r="1121" spans="25:33" x14ac:dyDescent="0.2">
      <c r="Y1121" s="7"/>
      <c r="AA1121" s="8"/>
      <c r="AB1121" s="9"/>
      <c r="AE1121" s="10"/>
      <c r="AF1121" s="11"/>
      <c r="AG1121"/>
    </row>
    <row r="1122" spans="25:33" x14ac:dyDescent="0.2">
      <c r="Y1122" s="7"/>
      <c r="AA1122" s="8"/>
      <c r="AB1122" s="9"/>
      <c r="AE1122" s="10"/>
      <c r="AF1122" s="11"/>
      <c r="AG1122"/>
    </row>
    <row r="1123" spans="25:33" x14ac:dyDescent="0.2">
      <c r="Y1123" s="7"/>
      <c r="AA1123" s="8"/>
      <c r="AB1123" s="9"/>
      <c r="AE1123" s="10"/>
      <c r="AF1123" s="11"/>
      <c r="AG1123"/>
    </row>
    <row r="1124" spans="25:33" x14ac:dyDescent="0.2">
      <c r="Y1124" s="7"/>
      <c r="AA1124" s="8"/>
      <c r="AB1124" s="9"/>
      <c r="AE1124" s="10"/>
      <c r="AF1124" s="11"/>
      <c r="AG1124"/>
    </row>
    <row r="1125" spans="25:33" x14ac:dyDescent="0.2">
      <c r="Y1125" s="7"/>
      <c r="AA1125" s="8"/>
      <c r="AB1125" s="9"/>
      <c r="AE1125" s="10"/>
      <c r="AF1125" s="11"/>
      <c r="AG1125"/>
    </row>
    <row r="1126" spans="25:33" x14ac:dyDescent="0.2">
      <c r="Y1126" s="7"/>
      <c r="AA1126" s="8"/>
      <c r="AB1126" s="9"/>
      <c r="AE1126" s="10"/>
      <c r="AF1126" s="11"/>
      <c r="AG1126"/>
    </row>
    <row r="1127" spans="25:33" x14ac:dyDescent="0.2">
      <c r="Y1127" s="7"/>
      <c r="AA1127" s="8"/>
      <c r="AB1127" s="9"/>
      <c r="AE1127" s="10"/>
      <c r="AF1127" s="11"/>
      <c r="AG1127"/>
    </row>
    <row r="1128" spans="25:33" x14ac:dyDescent="0.2">
      <c r="Y1128" s="7"/>
      <c r="AA1128" s="8"/>
      <c r="AB1128" s="9"/>
      <c r="AE1128" s="10"/>
      <c r="AF1128" s="11"/>
      <c r="AG1128"/>
    </row>
    <row r="1129" spans="25:33" x14ac:dyDescent="0.2">
      <c r="Y1129" s="7"/>
      <c r="AA1129" s="8"/>
      <c r="AB1129" s="9"/>
      <c r="AE1129" s="10"/>
      <c r="AF1129" s="11"/>
      <c r="AG1129"/>
    </row>
    <row r="1130" spans="25:33" x14ac:dyDescent="0.2">
      <c r="Y1130" s="7"/>
      <c r="AA1130" s="8"/>
      <c r="AB1130" s="9"/>
      <c r="AE1130" s="10"/>
      <c r="AF1130" s="11"/>
      <c r="AG1130"/>
    </row>
    <row r="1131" spans="25:33" x14ac:dyDescent="0.2">
      <c r="Y1131" s="7"/>
      <c r="AA1131" s="8"/>
      <c r="AB1131" s="9"/>
      <c r="AE1131" s="10"/>
      <c r="AF1131" s="11"/>
      <c r="AG1131"/>
    </row>
    <row r="1132" spans="25:33" x14ac:dyDescent="0.2">
      <c r="Y1132" s="7"/>
      <c r="AA1132" s="8"/>
      <c r="AB1132" s="9"/>
      <c r="AE1132" s="10"/>
      <c r="AF1132" s="11"/>
      <c r="AG1132"/>
    </row>
    <row r="1133" spans="25:33" x14ac:dyDescent="0.2">
      <c r="Y1133" s="7"/>
      <c r="AA1133" s="8"/>
      <c r="AB1133" s="9"/>
      <c r="AE1133" s="10"/>
      <c r="AF1133" s="11"/>
      <c r="AG1133"/>
    </row>
    <row r="1134" spans="25:33" x14ac:dyDescent="0.2">
      <c r="Y1134" s="7"/>
      <c r="AA1134" s="8"/>
      <c r="AB1134" s="9"/>
      <c r="AE1134" s="10"/>
      <c r="AF1134" s="11"/>
      <c r="AG1134"/>
    </row>
    <row r="1135" spans="25:33" x14ac:dyDescent="0.2">
      <c r="Y1135" s="7"/>
      <c r="AA1135" s="8"/>
      <c r="AB1135" s="9"/>
      <c r="AE1135" s="10"/>
      <c r="AF1135" s="11"/>
      <c r="AG1135"/>
    </row>
    <row r="1136" spans="25:33" x14ac:dyDescent="0.2">
      <c r="Y1136" s="7"/>
      <c r="AA1136" s="8"/>
      <c r="AB1136" s="9"/>
      <c r="AE1136" s="10"/>
      <c r="AF1136" s="11"/>
      <c r="AG1136"/>
    </row>
    <row r="1137" spans="25:33" x14ac:dyDescent="0.2">
      <c r="Y1137" s="7"/>
      <c r="AA1137" s="8"/>
      <c r="AB1137" s="9"/>
      <c r="AE1137" s="10"/>
      <c r="AF1137" s="11"/>
      <c r="AG1137"/>
    </row>
    <row r="1138" spans="25:33" x14ac:dyDescent="0.2">
      <c r="Y1138" s="7"/>
      <c r="AA1138" s="8"/>
      <c r="AB1138" s="9"/>
      <c r="AE1138" s="10"/>
      <c r="AF1138" s="11"/>
      <c r="AG1138"/>
    </row>
    <row r="1139" spans="25:33" x14ac:dyDescent="0.2">
      <c r="Y1139" s="7"/>
      <c r="AA1139" s="8"/>
      <c r="AB1139" s="9"/>
      <c r="AE1139" s="10"/>
      <c r="AF1139" s="11"/>
      <c r="AG1139"/>
    </row>
    <row r="1140" spans="25:33" x14ac:dyDescent="0.2">
      <c r="Y1140" s="7"/>
      <c r="AA1140" s="8"/>
      <c r="AB1140" s="9"/>
      <c r="AE1140" s="10"/>
      <c r="AF1140" s="11"/>
      <c r="AG1140"/>
    </row>
    <row r="1141" spans="25:33" x14ac:dyDescent="0.2">
      <c r="Y1141" s="7"/>
      <c r="AA1141" s="8"/>
      <c r="AB1141" s="9"/>
      <c r="AE1141" s="10"/>
      <c r="AF1141" s="11"/>
      <c r="AG1141"/>
    </row>
    <row r="1142" spans="25:33" x14ac:dyDescent="0.2">
      <c r="Y1142" s="7"/>
      <c r="AA1142" s="8"/>
      <c r="AB1142" s="9"/>
      <c r="AE1142" s="10"/>
      <c r="AF1142" s="11"/>
      <c r="AG1142"/>
    </row>
    <row r="1143" spans="25:33" x14ac:dyDescent="0.2">
      <c r="Y1143" s="7"/>
      <c r="AA1143" s="8"/>
      <c r="AB1143" s="9"/>
      <c r="AE1143" s="10"/>
      <c r="AF1143" s="11"/>
      <c r="AG1143"/>
    </row>
    <row r="1144" spans="25:33" x14ac:dyDescent="0.2">
      <c r="Y1144" s="7"/>
      <c r="AA1144" s="8"/>
      <c r="AB1144" s="9"/>
      <c r="AE1144" s="10"/>
      <c r="AF1144" s="11"/>
      <c r="AG1144"/>
    </row>
    <row r="1145" spans="25:33" x14ac:dyDescent="0.2">
      <c r="Y1145" s="7"/>
      <c r="AA1145" s="8"/>
      <c r="AB1145" s="9"/>
      <c r="AE1145" s="10"/>
      <c r="AF1145" s="11"/>
      <c r="AG1145"/>
    </row>
    <row r="1146" spans="25:33" x14ac:dyDescent="0.2">
      <c r="Y1146" s="7"/>
      <c r="AA1146" s="8"/>
      <c r="AB1146" s="9"/>
      <c r="AE1146" s="10"/>
      <c r="AF1146" s="11"/>
      <c r="AG1146"/>
    </row>
    <row r="1147" spans="25:33" x14ac:dyDescent="0.2">
      <c r="Y1147" s="7"/>
      <c r="AA1147" s="8"/>
      <c r="AB1147" s="9"/>
      <c r="AE1147" s="10"/>
      <c r="AF1147" s="11"/>
      <c r="AG1147"/>
    </row>
    <row r="1148" spans="25:33" x14ac:dyDescent="0.2">
      <c r="Y1148" s="7"/>
      <c r="AA1148" s="8"/>
      <c r="AB1148" s="9"/>
      <c r="AE1148" s="10"/>
      <c r="AF1148" s="11"/>
      <c r="AG1148"/>
    </row>
    <row r="1149" spans="25:33" x14ac:dyDescent="0.2">
      <c r="Y1149" s="7"/>
      <c r="AA1149" s="8"/>
      <c r="AB1149" s="9"/>
      <c r="AE1149" s="10"/>
      <c r="AF1149" s="11"/>
      <c r="AG1149"/>
    </row>
    <row r="1150" spans="25:33" x14ac:dyDescent="0.2">
      <c r="Y1150" s="7"/>
      <c r="AA1150" s="8"/>
      <c r="AB1150" s="9"/>
      <c r="AE1150" s="10"/>
      <c r="AF1150" s="11"/>
      <c r="AG1150"/>
    </row>
    <row r="1151" spans="25:33" x14ac:dyDescent="0.2">
      <c r="Y1151" s="7"/>
      <c r="AA1151" s="8"/>
      <c r="AB1151" s="9"/>
      <c r="AE1151" s="10"/>
      <c r="AF1151" s="11"/>
      <c r="AG1151"/>
    </row>
    <row r="1152" spans="25:33" x14ac:dyDescent="0.2">
      <c r="Y1152" s="7"/>
      <c r="AA1152" s="8"/>
      <c r="AB1152" s="9"/>
      <c r="AE1152" s="10"/>
      <c r="AF1152" s="11"/>
      <c r="AG1152"/>
    </row>
    <row r="1153" spans="25:33" x14ac:dyDescent="0.2">
      <c r="Y1153" s="7"/>
      <c r="AA1153" s="8"/>
      <c r="AB1153" s="9"/>
      <c r="AE1153" s="10"/>
      <c r="AF1153" s="11"/>
      <c r="AG1153"/>
    </row>
    <row r="1154" spans="25:33" x14ac:dyDescent="0.2">
      <c r="Y1154" s="7"/>
      <c r="AA1154" s="8"/>
      <c r="AB1154" s="9"/>
      <c r="AE1154" s="10"/>
      <c r="AF1154" s="11"/>
      <c r="AG1154"/>
    </row>
    <row r="1155" spans="25:33" x14ac:dyDescent="0.2">
      <c r="Y1155" s="7"/>
      <c r="AA1155" s="8"/>
      <c r="AB1155" s="9"/>
      <c r="AE1155" s="10"/>
      <c r="AF1155" s="11"/>
      <c r="AG1155"/>
    </row>
    <row r="1156" spans="25:33" x14ac:dyDescent="0.2">
      <c r="Y1156" s="7"/>
      <c r="AA1156" s="8"/>
      <c r="AB1156" s="9"/>
      <c r="AE1156" s="10"/>
      <c r="AF1156" s="11"/>
      <c r="AG1156"/>
    </row>
    <row r="1157" spans="25:33" x14ac:dyDescent="0.2">
      <c r="Y1157" s="7"/>
      <c r="AA1157" s="8"/>
      <c r="AB1157" s="9"/>
      <c r="AE1157" s="10"/>
      <c r="AF1157" s="11"/>
      <c r="AG1157"/>
    </row>
    <row r="1158" spans="25:33" x14ac:dyDescent="0.2">
      <c r="Y1158" s="7"/>
      <c r="AA1158" s="8"/>
      <c r="AB1158" s="9"/>
      <c r="AE1158" s="10"/>
      <c r="AF1158" s="11"/>
      <c r="AG1158"/>
    </row>
    <row r="1159" spans="25:33" x14ac:dyDescent="0.2">
      <c r="Y1159" s="7"/>
      <c r="AA1159" s="8"/>
      <c r="AB1159" s="9"/>
      <c r="AE1159" s="10"/>
      <c r="AF1159" s="11"/>
      <c r="AG1159"/>
    </row>
    <row r="1160" spans="25:33" x14ac:dyDescent="0.2">
      <c r="Y1160" s="7"/>
      <c r="AA1160" s="8"/>
      <c r="AB1160" s="9"/>
      <c r="AE1160" s="10"/>
      <c r="AF1160" s="11"/>
      <c r="AG1160"/>
    </row>
    <row r="1161" spans="25:33" x14ac:dyDescent="0.2">
      <c r="Y1161" s="7"/>
      <c r="AA1161" s="8"/>
      <c r="AB1161" s="9"/>
      <c r="AE1161" s="10"/>
      <c r="AF1161" s="11"/>
      <c r="AG1161"/>
    </row>
    <row r="1162" spans="25:33" x14ac:dyDescent="0.2">
      <c r="Y1162" s="7"/>
      <c r="AA1162" s="8"/>
      <c r="AB1162" s="9"/>
      <c r="AE1162" s="10"/>
      <c r="AF1162" s="11"/>
      <c r="AG1162"/>
    </row>
    <row r="1163" spans="25:33" x14ac:dyDescent="0.2">
      <c r="Y1163" s="7"/>
      <c r="AA1163" s="8"/>
      <c r="AB1163" s="9"/>
      <c r="AE1163" s="10"/>
      <c r="AF1163" s="11"/>
      <c r="AG1163"/>
    </row>
    <row r="1164" spans="25:33" x14ac:dyDescent="0.2">
      <c r="Y1164" s="7"/>
      <c r="AA1164" s="8"/>
      <c r="AB1164" s="9"/>
      <c r="AE1164" s="10"/>
      <c r="AF1164" s="11"/>
      <c r="AG1164"/>
    </row>
    <row r="1165" spans="25:33" x14ac:dyDescent="0.2">
      <c r="Y1165" s="7"/>
      <c r="AA1165" s="8"/>
      <c r="AB1165" s="9"/>
      <c r="AE1165" s="10"/>
      <c r="AF1165" s="11"/>
      <c r="AG1165"/>
    </row>
    <row r="1166" spans="25:33" x14ac:dyDescent="0.2">
      <c r="Y1166" s="7"/>
      <c r="AA1166" s="8"/>
      <c r="AB1166" s="9"/>
      <c r="AE1166" s="10"/>
      <c r="AF1166" s="11"/>
      <c r="AG1166"/>
    </row>
    <row r="1167" spans="25:33" x14ac:dyDescent="0.2">
      <c r="Y1167" s="7"/>
      <c r="AA1167" s="8"/>
      <c r="AB1167" s="9"/>
      <c r="AE1167" s="10"/>
      <c r="AF1167" s="11"/>
      <c r="AG1167"/>
    </row>
    <row r="1168" spans="25:33" x14ac:dyDescent="0.2">
      <c r="Y1168" s="7"/>
      <c r="AA1168" s="8"/>
      <c r="AB1168" s="9"/>
      <c r="AE1168" s="10"/>
      <c r="AF1168" s="11"/>
      <c r="AG1168"/>
    </row>
    <row r="1169" spans="25:33" x14ac:dyDescent="0.2">
      <c r="Y1169" s="7"/>
      <c r="AA1169" s="8"/>
      <c r="AB1169" s="9"/>
      <c r="AE1169" s="10"/>
      <c r="AF1169" s="11"/>
      <c r="AG1169"/>
    </row>
    <row r="1170" spans="25:33" x14ac:dyDescent="0.2">
      <c r="Y1170" s="7"/>
      <c r="AA1170" s="8"/>
      <c r="AB1170" s="9"/>
      <c r="AE1170" s="10"/>
      <c r="AF1170" s="11"/>
      <c r="AG1170"/>
    </row>
    <row r="1171" spans="25:33" x14ac:dyDescent="0.2">
      <c r="Y1171" s="7"/>
      <c r="AA1171" s="8"/>
      <c r="AB1171" s="9"/>
      <c r="AE1171" s="10"/>
      <c r="AF1171" s="11"/>
      <c r="AG1171"/>
    </row>
    <row r="1172" spans="25:33" x14ac:dyDescent="0.2">
      <c r="Y1172" s="7"/>
      <c r="AA1172" s="8"/>
      <c r="AB1172" s="9"/>
      <c r="AE1172" s="10"/>
      <c r="AF1172" s="11"/>
      <c r="AG1172"/>
    </row>
    <row r="1173" spans="25:33" x14ac:dyDescent="0.2">
      <c r="Y1173" s="7"/>
      <c r="AA1173" s="8"/>
      <c r="AB1173" s="9"/>
      <c r="AE1173" s="10"/>
      <c r="AF1173" s="11"/>
      <c r="AG1173"/>
    </row>
    <row r="1174" spans="25:33" x14ac:dyDescent="0.2">
      <c r="Y1174" s="7"/>
      <c r="AA1174" s="8"/>
      <c r="AB1174" s="9"/>
      <c r="AE1174" s="10"/>
      <c r="AF1174" s="11"/>
      <c r="AG1174"/>
    </row>
    <row r="1175" spans="25:33" x14ac:dyDescent="0.2">
      <c r="Y1175" s="7"/>
      <c r="AA1175" s="8"/>
      <c r="AB1175" s="9"/>
      <c r="AE1175" s="10"/>
      <c r="AF1175" s="11"/>
      <c r="AG1175"/>
    </row>
    <row r="1176" spans="25:33" x14ac:dyDescent="0.2">
      <c r="Y1176" s="7"/>
      <c r="AA1176" s="8"/>
      <c r="AB1176" s="9"/>
      <c r="AE1176" s="10"/>
      <c r="AF1176" s="11"/>
      <c r="AG1176"/>
    </row>
    <row r="1177" spans="25:33" x14ac:dyDescent="0.2">
      <c r="Y1177" s="7"/>
      <c r="AA1177" s="8"/>
      <c r="AB1177" s="9"/>
      <c r="AE1177" s="10"/>
      <c r="AF1177" s="11"/>
      <c r="AG1177"/>
    </row>
    <row r="1178" spans="25:33" x14ac:dyDescent="0.2">
      <c r="Y1178" s="7"/>
      <c r="AA1178" s="8"/>
      <c r="AB1178" s="9"/>
      <c r="AE1178" s="10"/>
      <c r="AF1178" s="11"/>
      <c r="AG1178"/>
    </row>
    <row r="1179" spans="25:33" x14ac:dyDescent="0.2">
      <c r="Y1179" s="7"/>
      <c r="AA1179" s="8"/>
      <c r="AB1179" s="9"/>
      <c r="AE1179" s="10"/>
      <c r="AF1179" s="11"/>
      <c r="AG1179"/>
    </row>
    <row r="1180" spans="25:33" x14ac:dyDescent="0.2">
      <c r="Y1180" s="7"/>
      <c r="AA1180" s="8"/>
      <c r="AB1180" s="9"/>
      <c r="AE1180" s="10"/>
      <c r="AF1180" s="11"/>
      <c r="AG1180"/>
    </row>
    <row r="1181" spans="25:33" x14ac:dyDescent="0.2">
      <c r="Y1181" s="7"/>
      <c r="AA1181" s="8"/>
      <c r="AB1181" s="9"/>
      <c r="AE1181" s="10"/>
      <c r="AF1181" s="11"/>
      <c r="AG1181"/>
    </row>
    <row r="1182" spans="25:33" x14ac:dyDescent="0.2">
      <c r="Y1182" s="7"/>
      <c r="AA1182" s="8"/>
      <c r="AB1182" s="9"/>
      <c r="AE1182" s="10"/>
      <c r="AF1182" s="11"/>
      <c r="AG1182"/>
    </row>
    <row r="1183" spans="25:33" x14ac:dyDescent="0.2">
      <c r="Y1183" s="7"/>
      <c r="AA1183" s="8"/>
      <c r="AB1183" s="9"/>
      <c r="AE1183" s="10"/>
      <c r="AF1183" s="11"/>
      <c r="AG1183"/>
    </row>
    <row r="1184" spans="25:33" x14ac:dyDescent="0.2">
      <c r="Y1184" s="7"/>
      <c r="AA1184" s="8"/>
      <c r="AB1184" s="9"/>
      <c r="AE1184" s="10"/>
      <c r="AF1184" s="11"/>
      <c r="AG1184"/>
    </row>
    <row r="1185" spans="25:33" x14ac:dyDescent="0.2">
      <c r="Y1185" s="7"/>
      <c r="AA1185" s="8"/>
      <c r="AB1185" s="9"/>
      <c r="AE1185" s="10"/>
      <c r="AF1185" s="11"/>
      <c r="AG1185"/>
    </row>
    <row r="1186" spans="25:33" x14ac:dyDescent="0.2">
      <c r="Y1186" s="7"/>
      <c r="AA1186" s="8"/>
      <c r="AB1186" s="9"/>
      <c r="AE1186" s="10"/>
      <c r="AF1186" s="11"/>
      <c r="AG1186"/>
    </row>
    <row r="1187" spans="25:33" x14ac:dyDescent="0.2">
      <c r="Y1187" s="7"/>
      <c r="AA1187" s="8"/>
      <c r="AB1187" s="9"/>
      <c r="AE1187" s="10"/>
      <c r="AF1187" s="11"/>
      <c r="AG1187"/>
    </row>
    <row r="1188" spans="25:33" x14ac:dyDescent="0.2">
      <c r="Y1188" s="7"/>
      <c r="AA1188" s="8"/>
      <c r="AB1188" s="9"/>
      <c r="AE1188" s="10"/>
      <c r="AF1188" s="11"/>
      <c r="AG1188"/>
    </row>
    <row r="1189" spans="25:33" x14ac:dyDescent="0.2">
      <c r="Y1189" s="7"/>
      <c r="AA1189" s="8"/>
      <c r="AB1189" s="9"/>
      <c r="AE1189" s="10"/>
      <c r="AF1189" s="11"/>
      <c r="AG1189"/>
    </row>
    <row r="1190" spans="25:33" x14ac:dyDescent="0.2">
      <c r="Y1190" s="7"/>
      <c r="AA1190" s="8"/>
      <c r="AB1190" s="9"/>
      <c r="AE1190" s="10"/>
      <c r="AF1190" s="11"/>
      <c r="AG1190"/>
    </row>
    <row r="1191" spans="25:33" x14ac:dyDescent="0.2">
      <c r="Y1191" s="7"/>
      <c r="AA1191" s="8"/>
      <c r="AB1191" s="9"/>
      <c r="AE1191" s="10"/>
      <c r="AF1191" s="11"/>
      <c r="AG1191"/>
    </row>
    <row r="1192" spans="25:33" x14ac:dyDescent="0.2">
      <c r="Y1192" s="7"/>
      <c r="AA1192" s="8"/>
      <c r="AB1192" s="9"/>
      <c r="AE1192" s="10"/>
      <c r="AF1192" s="11"/>
      <c r="AG1192"/>
    </row>
    <row r="1193" spans="25:33" x14ac:dyDescent="0.2">
      <c r="Y1193" s="7"/>
      <c r="AA1193" s="8"/>
      <c r="AB1193" s="9"/>
      <c r="AE1193" s="10"/>
      <c r="AF1193" s="11"/>
      <c r="AG1193"/>
    </row>
    <row r="1194" spans="25:33" x14ac:dyDescent="0.2">
      <c r="Y1194" s="7"/>
      <c r="AA1194" s="8"/>
      <c r="AB1194" s="9"/>
      <c r="AE1194" s="10"/>
      <c r="AF1194" s="11"/>
      <c r="AG1194"/>
    </row>
    <row r="1195" spans="25:33" x14ac:dyDescent="0.2">
      <c r="Y1195" s="7"/>
      <c r="AA1195" s="8"/>
      <c r="AB1195" s="9"/>
      <c r="AE1195" s="10"/>
      <c r="AF1195" s="11"/>
      <c r="AG1195"/>
    </row>
    <row r="1196" spans="25:33" x14ac:dyDescent="0.2">
      <c r="Y1196" s="7"/>
      <c r="AA1196" s="8"/>
      <c r="AB1196" s="9"/>
      <c r="AE1196" s="10"/>
      <c r="AF1196" s="11"/>
      <c r="AG1196"/>
    </row>
    <row r="1197" spans="25:33" x14ac:dyDescent="0.2">
      <c r="Y1197" s="7"/>
      <c r="AA1197" s="8"/>
      <c r="AB1197" s="9"/>
      <c r="AE1197" s="10"/>
      <c r="AF1197" s="11"/>
      <c r="AG1197"/>
    </row>
    <row r="1198" spans="25:33" x14ac:dyDescent="0.2">
      <c r="Y1198" s="7"/>
      <c r="AA1198" s="8"/>
      <c r="AB1198" s="9"/>
      <c r="AE1198" s="10"/>
      <c r="AF1198" s="11"/>
      <c r="AG1198"/>
    </row>
    <row r="1199" spans="25:33" x14ac:dyDescent="0.2">
      <c r="Y1199" s="7"/>
      <c r="AA1199" s="8"/>
      <c r="AB1199" s="9"/>
      <c r="AE1199" s="10"/>
      <c r="AF1199" s="11"/>
      <c r="AG1199"/>
    </row>
    <row r="1200" spans="25:33" x14ac:dyDescent="0.2">
      <c r="Y1200" s="7"/>
      <c r="AA1200" s="8"/>
      <c r="AB1200" s="9"/>
      <c r="AE1200" s="10"/>
      <c r="AF1200" s="11"/>
      <c r="AG1200"/>
    </row>
    <row r="1201" spans="25:33" x14ac:dyDescent="0.2">
      <c r="Y1201" s="7"/>
      <c r="AA1201" s="8"/>
      <c r="AB1201" s="9"/>
      <c r="AE1201" s="10"/>
      <c r="AF1201" s="11"/>
      <c r="AG1201"/>
    </row>
    <row r="1202" spans="25:33" x14ac:dyDescent="0.2">
      <c r="Y1202" s="7"/>
      <c r="AA1202" s="8"/>
      <c r="AB1202" s="9"/>
      <c r="AE1202" s="10"/>
      <c r="AF1202" s="11"/>
      <c r="AG1202"/>
    </row>
    <row r="1203" spans="25:33" x14ac:dyDescent="0.2">
      <c r="Y1203" s="7"/>
      <c r="AA1203" s="8"/>
      <c r="AB1203" s="9"/>
      <c r="AE1203" s="10"/>
      <c r="AF1203" s="11"/>
      <c r="AG1203"/>
    </row>
    <row r="1204" spans="25:33" x14ac:dyDescent="0.2">
      <c r="Y1204" s="7"/>
      <c r="AA1204" s="8"/>
      <c r="AB1204" s="9"/>
      <c r="AE1204" s="10"/>
      <c r="AF1204" s="11"/>
      <c r="AG1204"/>
    </row>
    <row r="1205" spans="25:33" x14ac:dyDescent="0.2">
      <c r="Y1205" s="7"/>
      <c r="AA1205" s="8"/>
      <c r="AB1205" s="9"/>
      <c r="AE1205" s="10"/>
      <c r="AF1205" s="11"/>
      <c r="AG1205"/>
    </row>
    <row r="1206" spans="25:33" x14ac:dyDescent="0.2">
      <c r="Y1206" s="7"/>
      <c r="AA1206" s="8"/>
      <c r="AB1206" s="9"/>
      <c r="AE1206" s="10"/>
      <c r="AF1206" s="11"/>
      <c r="AG1206"/>
    </row>
    <row r="1207" spans="25:33" x14ac:dyDescent="0.2">
      <c r="Y1207" s="7"/>
      <c r="AA1207" s="8"/>
      <c r="AB1207" s="9"/>
      <c r="AE1207" s="10"/>
      <c r="AF1207" s="11"/>
      <c r="AG1207"/>
    </row>
    <row r="1208" spans="25:33" x14ac:dyDescent="0.2">
      <c r="Y1208" s="7"/>
      <c r="AA1208" s="8"/>
      <c r="AB1208" s="9"/>
      <c r="AE1208" s="10"/>
      <c r="AF1208" s="11"/>
      <c r="AG1208"/>
    </row>
    <row r="1209" spans="25:33" x14ac:dyDescent="0.2">
      <c r="Y1209" s="7"/>
      <c r="AA1209" s="8"/>
      <c r="AB1209" s="9"/>
      <c r="AE1209" s="10"/>
      <c r="AF1209" s="11"/>
      <c r="AG1209"/>
    </row>
    <row r="1210" spans="25:33" x14ac:dyDescent="0.2">
      <c r="Y1210" s="7"/>
      <c r="AA1210" s="8"/>
      <c r="AB1210" s="9"/>
      <c r="AE1210" s="10"/>
      <c r="AF1210" s="11"/>
      <c r="AG1210"/>
    </row>
    <row r="1211" spans="25:33" x14ac:dyDescent="0.2">
      <c r="Y1211" s="7"/>
      <c r="AA1211" s="8"/>
      <c r="AB1211" s="9"/>
      <c r="AE1211" s="10"/>
      <c r="AF1211" s="11"/>
      <c r="AG1211"/>
    </row>
    <row r="1212" spans="25:33" x14ac:dyDescent="0.2">
      <c r="Y1212" s="7"/>
      <c r="AA1212" s="8"/>
      <c r="AB1212" s="9"/>
      <c r="AE1212" s="10"/>
      <c r="AF1212" s="11"/>
      <c r="AG1212"/>
    </row>
    <row r="1213" spans="25:33" x14ac:dyDescent="0.2">
      <c r="Y1213" s="7"/>
      <c r="AA1213" s="8"/>
      <c r="AB1213" s="9"/>
      <c r="AE1213" s="10"/>
      <c r="AF1213" s="11"/>
      <c r="AG1213"/>
    </row>
    <row r="1214" spans="25:33" x14ac:dyDescent="0.2">
      <c r="Y1214" s="7"/>
      <c r="AA1214" s="8"/>
      <c r="AB1214" s="9"/>
      <c r="AE1214" s="10"/>
      <c r="AF1214" s="11"/>
      <c r="AG1214"/>
    </row>
    <row r="1215" spans="25:33" x14ac:dyDescent="0.2">
      <c r="Y1215" s="7"/>
      <c r="AA1215" s="8"/>
      <c r="AB1215" s="9"/>
      <c r="AE1215" s="10"/>
      <c r="AF1215" s="11"/>
      <c r="AG1215"/>
    </row>
    <row r="1216" spans="25:33" x14ac:dyDescent="0.2">
      <c r="Y1216" s="7"/>
      <c r="AA1216" s="8"/>
      <c r="AB1216" s="9"/>
      <c r="AE1216" s="10"/>
      <c r="AF1216" s="11"/>
      <c r="AG1216"/>
    </row>
    <row r="1217" spans="25:33" x14ac:dyDescent="0.2">
      <c r="Y1217" s="7"/>
      <c r="AA1217" s="8"/>
      <c r="AB1217" s="9"/>
      <c r="AE1217" s="10"/>
      <c r="AF1217" s="11"/>
      <c r="AG1217"/>
    </row>
    <row r="1218" spans="25:33" x14ac:dyDescent="0.2">
      <c r="Y1218" s="7"/>
      <c r="AA1218" s="8"/>
      <c r="AB1218" s="9"/>
      <c r="AE1218" s="10"/>
      <c r="AF1218" s="11"/>
      <c r="AG1218"/>
    </row>
    <row r="1219" spans="25:33" x14ac:dyDescent="0.2">
      <c r="Y1219" s="7"/>
      <c r="AA1219" s="8"/>
      <c r="AB1219" s="9"/>
      <c r="AE1219" s="10"/>
      <c r="AF1219" s="11"/>
      <c r="AG1219"/>
    </row>
    <row r="1220" spans="25:33" x14ac:dyDescent="0.2">
      <c r="Y1220" s="7"/>
      <c r="AA1220" s="8"/>
      <c r="AB1220" s="9"/>
      <c r="AE1220" s="10"/>
      <c r="AF1220" s="11"/>
      <c r="AG1220"/>
    </row>
    <row r="1221" spans="25:33" x14ac:dyDescent="0.2">
      <c r="Y1221" s="7"/>
      <c r="AA1221" s="8"/>
      <c r="AB1221" s="9"/>
      <c r="AE1221" s="10"/>
      <c r="AF1221" s="11"/>
      <c r="AG1221"/>
    </row>
    <row r="1222" spans="25:33" x14ac:dyDescent="0.2">
      <c r="Y1222" s="7"/>
      <c r="AA1222" s="8"/>
      <c r="AB1222" s="9"/>
      <c r="AE1222" s="10"/>
      <c r="AF1222" s="11"/>
      <c r="AG1222"/>
    </row>
    <row r="1223" spans="25:33" x14ac:dyDescent="0.2">
      <c r="Y1223" s="7"/>
      <c r="AA1223" s="8"/>
      <c r="AB1223" s="9"/>
      <c r="AE1223" s="10"/>
      <c r="AF1223" s="11"/>
      <c r="AG1223"/>
    </row>
    <row r="1224" spans="25:33" x14ac:dyDescent="0.2">
      <c r="Y1224" s="7"/>
      <c r="AA1224" s="8"/>
      <c r="AB1224" s="9"/>
      <c r="AE1224" s="10"/>
      <c r="AF1224" s="11"/>
      <c r="AG1224"/>
    </row>
    <row r="1225" spans="25:33" x14ac:dyDescent="0.2">
      <c r="Y1225" s="7"/>
      <c r="AA1225" s="8"/>
      <c r="AB1225" s="9"/>
      <c r="AE1225" s="10"/>
      <c r="AF1225" s="11"/>
      <c r="AG1225"/>
    </row>
    <row r="1226" spans="25:33" x14ac:dyDescent="0.2">
      <c r="Y1226" s="7"/>
      <c r="AA1226" s="8"/>
      <c r="AB1226" s="9"/>
      <c r="AE1226" s="10"/>
      <c r="AF1226" s="11"/>
      <c r="AG1226"/>
    </row>
    <row r="1227" spans="25:33" x14ac:dyDescent="0.2">
      <c r="Y1227" s="7"/>
      <c r="AA1227" s="8"/>
      <c r="AB1227" s="9"/>
      <c r="AE1227" s="10"/>
      <c r="AF1227" s="11"/>
      <c r="AG1227"/>
    </row>
    <row r="1228" spans="25:33" x14ac:dyDescent="0.2">
      <c r="Y1228" s="7"/>
      <c r="AA1228" s="8"/>
      <c r="AB1228" s="9"/>
      <c r="AE1228" s="10"/>
      <c r="AF1228" s="11"/>
      <c r="AG1228"/>
    </row>
    <row r="1229" spans="25:33" x14ac:dyDescent="0.2">
      <c r="Y1229" s="7"/>
      <c r="AA1229" s="8"/>
      <c r="AB1229" s="9"/>
      <c r="AE1229" s="10"/>
      <c r="AF1229" s="11"/>
      <c r="AG1229"/>
    </row>
    <row r="1230" spans="25:33" x14ac:dyDescent="0.2">
      <c r="Y1230" s="7"/>
      <c r="AA1230" s="8"/>
      <c r="AB1230" s="9"/>
      <c r="AE1230" s="10"/>
      <c r="AF1230" s="11"/>
      <c r="AG1230"/>
    </row>
    <row r="1231" spans="25:33" x14ac:dyDescent="0.2">
      <c r="Y1231" s="7"/>
      <c r="AA1231" s="8"/>
      <c r="AB1231" s="9"/>
      <c r="AE1231" s="10"/>
      <c r="AF1231" s="11"/>
      <c r="AG1231"/>
    </row>
    <row r="1232" spans="25:33" x14ac:dyDescent="0.2">
      <c r="Y1232" s="7"/>
      <c r="AA1232" s="8"/>
      <c r="AB1232" s="9"/>
      <c r="AE1232" s="10"/>
      <c r="AF1232" s="11"/>
      <c r="AG1232"/>
    </row>
    <row r="1233" spans="25:33" x14ac:dyDescent="0.2">
      <c r="Y1233" s="7"/>
      <c r="AA1233" s="8"/>
      <c r="AB1233" s="9"/>
      <c r="AE1233" s="10"/>
      <c r="AF1233" s="11"/>
      <c r="AG1233"/>
    </row>
    <row r="1234" spans="25:33" x14ac:dyDescent="0.2">
      <c r="Y1234" s="7"/>
      <c r="AA1234" s="8"/>
      <c r="AB1234" s="9"/>
      <c r="AE1234" s="10"/>
      <c r="AF1234" s="11"/>
      <c r="AG1234"/>
    </row>
    <row r="1235" spans="25:33" x14ac:dyDescent="0.2">
      <c r="Y1235" s="7"/>
      <c r="AA1235" s="8"/>
      <c r="AB1235" s="9"/>
      <c r="AE1235" s="10"/>
      <c r="AF1235" s="11"/>
      <c r="AG1235"/>
    </row>
    <row r="1236" spans="25:33" x14ac:dyDescent="0.2">
      <c r="Y1236" s="7"/>
      <c r="AA1236" s="8"/>
      <c r="AB1236" s="9"/>
      <c r="AE1236" s="10"/>
      <c r="AF1236" s="11"/>
      <c r="AG1236"/>
    </row>
    <row r="1237" spans="25:33" x14ac:dyDescent="0.2">
      <c r="Y1237" s="7"/>
      <c r="AA1237" s="8"/>
      <c r="AB1237" s="9"/>
      <c r="AE1237" s="10"/>
      <c r="AF1237" s="11"/>
      <c r="AG1237"/>
    </row>
    <row r="1238" spans="25:33" x14ac:dyDescent="0.2">
      <c r="Y1238" s="7"/>
      <c r="AA1238" s="8"/>
      <c r="AB1238" s="9"/>
      <c r="AE1238" s="10"/>
      <c r="AF1238" s="11"/>
      <c r="AG1238"/>
    </row>
    <row r="1239" spans="25:33" x14ac:dyDescent="0.2">
      <c r="Y1239" s="7"/>
      <c r="AA1239" s="8"/>
      <c r="AB1239" s="9"/>
      <c r="AE1239" s="10"/>
      <c r="AF1239" s="11"/>
      <c r="AG1239"/>
    </row>
    <row r="1240" spans="25:33" x14ac:dyDescent="0.2">
      <c r="Y1240" s="7"/>
      <c r="AA1240" s="8"/>
      <c r="AB1240" s="9"/>
      <c r="AE1240" s="10"/>
      <c r="AF1240" s="11"/>
      <c r="AG1240"/>
    </row>
    <row r="1241" spans="25:33" x14ac:dyDescent="0.2">
      <c r="Y1241" s="7"/>
      <c r="AA1241" s="8"/>
      <c r="AB1241" s="9"/>
      <c r="AE1241" s="10"/>
      <c r="AF1241" s="11"/>
      <c r="AG1241"/>
    </row>
    <row r="1242" spans="25:33" x14ac:dyDescent="0.2">
      <c r="Y1242" s="7"/>
      <c r="AA1242" s="8"/>
      <c r="AB1242" s="9"/>
      <c r="AE1242" s="10"/>
      <c r="AF1242" s="11"/>
      <c r="AG1242"/>
    </row>
    <row r="1243" spans="25:33" x14ac:dyDescent="0.2">
      <c r="Y1243" s="7"/>
      <c r="AA1243" s="8"/>
      <c r="AB1243" s="9"/>
      <c r="AE1243" s="10"/>
      <c r="AF1243" s="11"/>
      <c r="AG1243"/>
    </row>
    <row r="1244" spans="25:33" x14ac:dyDescent="0.2">
      <c r="Y1244" s="7"/>
      <c r="AA1244" s="8"/>
      <c r="AB1244" s="9"/>
      <c r="AE1244" s="10"/>
      <c r="AF1244" s="11"/>
      <c r="AG1244"/>
    </row>
    <row r="1245" spans="25:33" x14ac:dyDescent="0.2">
      <c r="Y1245" s="7"/>
      <c r="AA1245" s="8"/>
      <c r="AB1245" s="9"/>
      <c r="AE1245" s="10"/>
      <c r="AF1245" s="11"/>
      <c r="AG1245"/>
    </row>
    <row r="1246" spans="25:33" x14ac:dyDescent="0.2">
      <c r="Y1246" s="7"/>
      <c r="AA1246" s="8"/>
      <c r="AB1246" s="9"/>
      <c r="AE1246" s="10"/>
      <c r="AF1246" s="11"/>
      <c r="AG1246"/>
    </row>
    <row r="1247" spans="25:33" x14ac:dyDescent="0.2">
      <c r="Y1247" s="7"/>
      <c r="AA1247" s="8"/>
      <c r="AB1247" s="9"/>
      <c r="AE1247" s="10"/>
      <c r="AF1247" s="11"/>
      <c r="AG1247"/>
    </row>
    <row r="1248" spans="25:33" x14ac:dyDescent="0.2">
      <c r="Y1248" s="7"/>
      <c r="AA1248" s="8"/>
      <c r="AB1248" s="9"/>
      <c r="AE1248" s="10"/>
      <c r="AF1248" s="11"/>
      <c r="AG1248"/>
    </row>
    <row r="1249" spans="25:33" x14ac:dyDescent="0.2">
      <c r="Y1249" s="7"/>
      <c r="AA1249" s="8"/>
      <c r="AB1249" s="9"/>
      <c r="AE1249" s="10"/>
      <c r="AF1249" s="11"/>
      <c r="AG1249"/>
    </row>
    <row r="1250" spans="25:33" x14ac:dyDescent="0.2">
      <c r="Y1250" s="7"/>
      <c r="AA1250" s="8"/>
      <c r="AB1250" s="9"/>
      <c r="AE1250" s="10"/>
      <c r="AF1250" s="11"/>
      <c r="AG1250"/>
    </row>
    <row r="1251" spans="25:33" x14ac:dyDescent="0.2">
      <c r="Y1251" s="7"/>
      <c r="AA1251" s="8"/>
      <c r="AB1251" s="9"/>
      <c r="AE1251" s="10"/>
      <c r="AF1251" s="11"/>
      <c r="AG1251"/>
    </row>
    <row r="1252" spans="25:33" x14ac:dyDescent="0.2">
      <c r="Y1252" s="7"/>
      <c r="AA1252" s="8"/>
      <c r="AB1252" s="9"/>
      <c r="AE1252" s="10"/>
      <c r="AF1252" s="11"/>
      <c r="AG1252"/>
    </row>
    <row r="1253" spans="25:33" x14ac:dyDescent="0.2">
      <c r="Y1253" s="7"/>
      <c r="AA1253" s="8"/>
      <c r="AB1253" s="9"/>
      <c r="AE1253" s="10"/>
      <c r="AF1253" s="11"/>
      <c r="AG1253"/>
    </row>
    <row r="1254" spans="25:33" x14ac:dyDescent="0.2">
      <c r="Y1254" s="7"/>
      <c r="AA1254" s="8"/>
      <c r="AB1254" s="9"/>
      <c r="AE1254" s="10"/>
      <c r="AF1254" s="11"/>
      <c r="AG1254"/>
    </row>
    <row r="1255" spans="25:33" x14ac:dyDescent="0.2">
      <c r="Y1255" s="7"/>
      <c r="AA1255" s="8"/>
      <c r="AB1255" s="9"/>
      <c r="AE1255" s="10"/>
      <c r="AF1255" s="11"/>
      <c r="AG1255"/>
    </row>
    <row r="1256" spans="25:33" x14ac:dyDescent="0.2">
      <c r="Y1256" s="7"/>
      <c r="AA1256" s="8"/>
      <c r="AB1256" s="9"/>
      <c r="AE1256" s="10"/>
      <c r="AF1256" s="11"/>
      <c r="AG1256"/>
    </row>
    <row r="1257" spans="25:33" x14ac:dyDescent="0.2">
      <c r="Y1257" s="7"/>
      <c r="AA1257" s="8"/>
      <c r="AB1257" s="9"/>
      <c r="AE1257" s="10"/>
      <c r="AF1257" s="11"/>
      <c r="AG1257"/>
    </row>
    <row r="1258" spans="25:33" x14ac:dyDescent="0.2">
      <c r="Y1258" s="7"/>
      <c r="AA1258" s="8"/>
      <c r="AB1258" s="9"/>
      <c r="AE1258" s="10"/>
      <c r="AF1258" s="11"/>
      <c r="AG1258"/>
    </row>
    <row r="1259" spans="25:33" x14ac:dyDescent="0.2">
      <c r="Y1259" s="7"/>
      <c r="AA1259" s="8"/>
      <c r="AB1259" s="9"/>
      <c r="AE1259" s="10"/>
      <c r="AF1259" s="11"/>
      <c r="AG1259"/>
    </row>
    <row r="1260" spans="25:33" x14ac:dyDescent="0.2">
      <c r="Y1260" s="7"/>
      <c r="AA1260" s="8"/>
      <c r="AB1260" s="9"/>
      <c r="AE1260" s="10"/>
      <c r="AF1260" s="11"/>
      <c r="AG1260"/>
    </row>
    <row r="1261" spans="25:33" x14ac:dyDescent="0.2">
      <c r="Y1261" s="7"/>
      <c r="AA1261" s="8"/>
      <c r="AB1261" s="9"/>
      <c r="AE1261" s="10"/>
      <c r="AF1261" s="11"/>
      <c r="AG1261"/>
    </row>
    <row r="1262" spans="25:33" x14ac:dyDescent="0.2">
      <c r="Y1262" s="7"/>
      <c r="AA1262" s="8"/>
      <c r="AB1262" s="9"/>
      <c r="AE1262" s="10"/>
      <c r="AF1262" s="11"/>
      <c r="AG1262"/>
    </row>
    <row r="1263" spans="25:33" x14ac:dyDescent="0.2">
      <c r="Y1263" s="7"/>
      <c r="AA1263" s="8"/>
      <c r="AB1263" s="9"/>
      <c r="AE1263" s="10"/>
      <c r="AF1263" s="11"/>
      <c r="AG1263"/>
    </row>
    <row r="1264" spans="25:33" x14ac:dyDescent="0.2">
      <c r="Y1264" s="7"/>
      <c r="AA1264" s="8"/>
      <c r="AB1264" s="9"/>
      <c r="AE1264" s="10"/>
      <c r="AF1264" s="11"/>
      <c r="AG1264"/>
    </row>
    <row r="1265" spans="25:33" x14ac:dyDescent="0.2">
      <c r="Y1265" s="7"/>
      <c r="AA1265" s="8"/>
      <c r="AB1265" s="9"/>
      <c r="AE1265" s="10"/>
      <c r="AF1265" s="11"/>
      <c r="AG1265"/>
    </row>
    <row r="1266" spans="25:33" x14ac:dyDescent="0.2">
      <c r="Y1266" s="7"/>
      <c r="AA1266" s="8"/>
      <c r="AB1266" s="9"/>
      <c r="AE1266" s="10"/>
      <c r="AF1266" s="11"/>
      <c r="AG1266"/>
    </row>
    <row r="1267" spans="25:33" x14ac:dyDescent="0.2">
      <c r="Y1267" s="7"/>
      <c r="AA1267" s="8"/>
      <c r="AB1267" s="9"/>
      <c r="AE1267" s="10"/>
      <c r="AF1267" s="11"/>
      <c r="AG1267"/>
    </row>
    <row r="1268" spans="25:33" x14ac:dyDescent="0.2">
      <c r="Y1268" s="7"/>
      <c r="AA1268" s="8"/>
      <c r="AB1268" s="9"/>
      <c r="AE1268" s="10"/>
      <c r="AF1268" s="11"/>
      <c r="AG1268"/>
    </row>
    <row r="1269" spans="25:33" x14ac:dyDescent="0.2">
      <c r="Y1269" s="7"/>
      <c r="AA1269" s="8"/>
      <c r="AB1269" s="9"/>
      <c r="AE1269" s="10"/>
      <c r="AF1269" s="11"/>
      <c r="AG1269"/>
    </row>
    <row r="1270" spans="25:33" x14ac:dyDescent="0.2">
      <c r="Y1270" s="7"/>
      <c r="AA1270" s="8"/>
      <c r="AB1270" s="9"/>
      <c r="AE1270" s="10"/>
      <c r="AF1270" s="11"/>
      <c r="AG1270"/>
    </row>
    <row r="1271" spans="25:33" x14ac:dyDescent="0.2">
      <c r="Y1271" s="7"/>
      <c r="AA1271" s="8"/>
      <c r="AB1271" s="9"/>
      <c r="AE1271" s="10"/>
      <c r="AF1271" s="11"/>
      <c r="AG1271"/>
    </row>
    <row r="1272" spans="25:33" x14ac:dyDescent="0.2">
      <c r="Y1272" s="7"/>
      <c r="AA1272" s="8"/>
      <c r="AB1272" s="9"/>
      <c r="AE1272" s="10"/>
      <c r="AF1272" s="11"/>
      <c r="AG1272"/>
    </row>
    <row r="1273" spans="25:33" x14ac:dyDescent="0.2">
      <c r="Y1273" s="7"/>
      <c r="AA1273" s="8"/>
      <c r="AB1273" s="9"/>
      <c r="AE1273" s="10"/>
      <c r="AF1273" s="11"/>
      <c r="AG1273"/>
    </row>
    <row r="1274" spans="25:33" x14ac:dyDescent="0.2">
      <c r="Y1274" s="7"/>
      <c r="AA1274" s="8"/>
      <c r="AB1274" s="9"/>
      <c r="AE1274" s="10"/>
      <c r="AF1274" s="11"/>
      <c r="AG1274"/>
    </row>
    <row r="1275" spans="25:33" x14ac:dyDescent="0.2">
      <c r="Y1275" s="7"/>
      <c r="AA1275" s="8"/>
      <c r="AB1275" s="9"/>
      <c r="AE1275" s="10"/>
      <c r="AF1275" s="11"/>
      <c r="AG1275"/>
    </row>
    <row r="1276" spans="25:33" x14ac:dyDescent="0.2">
      <c r="Y1276" s="7"/>
      <c r="AA1276" s="8"/>
      <c r="AB1276" s="9"/>
      <c r="AE1276" s="10"/>
      <c r="AF1276" s="11"/>
      <c r="AG1276"/>
    </row>
    <row r="1277" spans="25:33" x14ac:dyDescent="0.2">
      <c r="Y1277" s="7"/>
      <c r="AA1277" s="8"/>
      <c r="AB1277" s="9"/>
      <c r="AE1277" s="10"/>
      <c r="AF1277" s="11"/>
      <c r="AG1277"/>
    </row>
    <row r="1278" spans="25:33" x14ac:dyDescent="0.2">
      <c r="Y1278" s="7"/>
      <c r="AA1278" s="8"/>
      <c r="AB1278" s="9"/>
      <c r="AE1278" s="10"/>
      <c r="AF1278" s="11"/>
      <c r="AG1278"/>
    </row>
    <row r="1279" spans="25:33" x14ac:dyDescent="0.2">
      <c r="Y1279" s="7"/>
      <c r="AA1279" s="8"/>
      <c r="AB1279" s="9"/>
      <c r="AE1279" s="10"/>
      <c r="AF1279" s="11"/>
      <c r="AG1279"/>
    </row>
    <row r="1280" spans="25:33" x14ac:dyDescent="0.2">
      <c r="Y1280" s="7"/>
      <c r="AA1280" s="8"/>
      <c r="AB1280" s="9"/>
      <c r="AE1280" s="10"/>
      <c r="AF1280" s="11"/>
      <c r="AG1280"/>
    </row>
    <row r="1281" spans="25:33" x14ac:dyDescent="0.2">
      <c r="Y1281" s="7"/>
      <c r="AA1281" s="8"/>
      <c r="AB1281" s="9"/>
      <c r="AE1281" s="10"/>
      <c r="AF1281" s="11"/>
      <c r="AG1281"/>
    </row>
    <row r="1282" spans="25:33" x14ac:dyDescent="0.2">
      <c r="Y1282" s="7"/>
      <c r="AA1282" s="8"/>
      <c r="AB1282" s="9"/>
      <c r="AE1282" s="10"/>
      <c r="AF1282" s="11"/>
      <c r="AG1282"/>
    </row>
    <row r="1283" spans="25:33" x14ac:dyDescent="0.2">
      <c r="Y1283" s="7"/>
      <c r="AA1283" s="8"/>
      <c r="AB1283" s="9"/>
      <c r="AE1283" s="10"/>
      <c r="AF1283" s="11"/>
      <c r="AG1283"/>
    </row>
    <row r="1284" spans="25:33" x14ac:dyDescent="0.2">
      <c r="Y1284" s="7"/>
      <c r="AA1284" s="8"/>
      <c r="AB1284" s="9"/>
      <c r="AE1284" s="10"/>
      <c r="AF1284" s="11"/>
      <c r="AG1284"/>
    </row>
    <row r="1285" spans="25:33" x14ac:dyDescent="0.2">
      <c r="Y1285" s="7"/>
      <c r="AA1285" s="8"/>
      <c r="AB1285" s="9"/>
      <c r="AE1285" s="10"/>
      <c r="AF1285" s="11"/>
      <c r="AG1285"/>
    </row>
    <row r="1286" spans="25:33" x14ac:dyDescent="0.2">
      <c r="Y1286" s="7"/>
      <c r="AA1286" s="8"/>
      <c r="AB1286" s="9"/>
      <c r="AE1286" s="10"/>
      <c r="AF1286" s="11"/>
      <c r="AG1286"/>
    </row>
    <row r="1287" spans="25:33" x14ac:dyDescent="0.2">
      <c r="Y1287" s="7"/>
      <c r="AA1287" s="8"/>
      <c r="AB1287" s="9"/>
      <c r="AE1287" s="10"/>
      <c r="AF1287" s="11"/>
      <c r="AG1287"/>
    </row>
    <row r="1288" spans="25:33" x14ac:dyDescent="0.2">
      <c r="Y1288" s="7"/>
      <c r="AA1288" s="8"/>
      <c r="AB1288" s="9"/>
      <c r="AE1288" s="10"/>
      <c r="AF1288" s="11"/>
      <c r="AG1288"/>
    </row>
    <row r="1289" spans="25:33" x14ac:dyDescent="0.2">
      <c r="Y1289" s="7"/>
      <c r="AA1289" s="8"/>
      <c r="AB1289" s="9"/>
      <c r="AE1289" s="10"/>
      <c r="AF1289" s="11"/>
      <c r="AG1289"/>
    </row>
    <row r="1290" spans="25:33" x14ac:dyDescent="0.2">
      <c r="Y1290" s="7"/>
      <c r="AA1290" s="8"/>
      <c r="AB1290" s="9"/>
      <c r="AE1290" s="10"/>
      <c r="AF1290" s="11"/>
      <c r="AG1290"/>
    </row>
    <row r="1291" spans="25:33" x14ac:dyDescent="0.2">
      <c r="Y1291" s="7"/>
      <c r="AA1291" s="8"/>
      <c r="AB1291" s="9"/>
      <c r="AE1291" s="10"/>
      <c r="AF1291" s="11"/>
      <c r="AG1291"/>
    </row>
    <row r="1292" spans="25:33" x14ac:dyDescent="0.2">
      <c r="Y1292" s="7"/>
      <c r="AA1292" s="8"/>
      <c r="AB1292" s="9"/>
      <c r="AE1292" s="10"/>
      <c r="AF1292" s="11"/>
      <c r="AG1292"/>
    </row>
    <row r="1293" spans="25:33" x14ac:dyDescent="0.2">
      <c r="Y1293" s="7"/>
      <c r="AA1293" s="8"/>
      <c r="AB1293" s="9"/>
      <c r="AE1293" s="10"/>
      <c r="AF1293" s="11"/>
      <c r="AG1293"/>
    </row>
    <row r="1294" spans="25:33" x14ac:dyDescent="0.2">
      <c r="Y1294" s="7"/>
      <c r="AA1294" s="8"/>
      <c r="AB1294" s="9"/>
      <c r="AE1294" s="10"/>
      <c r="AF1294" s="11"/>
      <c r="AG1294"/>
    </row>
    <row r="1295" spans="25:33" x14ac:dyDescent="0.2">
      <c r="Y1295" s="7"/>
      <c r="AA1295" s="8"/>
      <c r="AB1295" s="9"/>
      <c r="AE1295" s="10"/>
      <c r="AF1295" s="11"/>
      <c r="AG1295"/>
    </row>
    <row r="1296" spans="25:33" x14ac:dyDescent="0.2">
      <c r="Y1296" s="7"/>
      <c r="AA1296" s="8"/>
      <c r="AB1296" s="9"/>
      <c r="AE1296" s="10"/>
      <c r="AF1296" s="11"/>
      <c r="AG1296"/>
    </row>
    <row r="1297" spans="25:33" x14ac:dyDescent="0.2">
      <c r="Y1297" s="7"/>
      <c r="AA1297" s="8"/>
      <c r="AB1297" s="9"/>
      <c r="AE1297" s="10"/>
      <c r="AF1297" s="11"/>
      <c r="AG1297"/>
    </row>
    <row r="1298" spans="25:33" x14ac:dyDescent="0.2">
      <c r="Y1298" s="7"/>
      <c r="AA1298" s="8"/>
      <c r="AB1298" s="9"/>
      <c r="AE1298" s="10"/>
      <c r="AF1298" s="11"/>
      <c r="AG1298"/>
    </row>
    <row r="1299" spans="25:33" x14ac:dyDescent="0.2">
      <c r="Y1299" s="7"/>
      <c r="AA1299" s="8"/>
      <c r="AB1299" s="9"/>
      <c r="AE1299" s="10"/>
      <c r="AF1299" s="11"/>
      <c r="AG1299"/>
    </row>
    <row r="1300" spans="25:33" x14ac:dyDescent="0.2">
      <c r="Y1300" s="7"/>
      <c r="AA1300" s="8"/>
      <c r="AB1300" s="9"/>
      <c r="AE1300" s="10"/>
      <c r="AF1300" s="11"/>
      <c r="AG1300"/>
    </row>
    <row r="1301" spans="25:33" x14ac:dyDescent="0.2">
      <c r="Y1301" s="7"/>
      <c r="AA1301" s="8"/>
      <c r="AB1301" s="9"/>
      <c r="AE1301" s="10"/>
      <c r="AF1301" s="11"/>
      <c r="AG1301"/>
    </row>
    <row r="1302" spans="25:33" x14ac:dyDescent="0.2">
      <c r="Y1302" s="7"/>
      <c r="AA1302" s="8"/>
      <c r="AB1302" s="9"/>
      <c r="AE1302" s="10"/>
      <c r="AF1302" s="11"/>
      <c r="AG1302"/>
    </row>
    <row r="1303" spans="25:33" x14ac:dyDescent="0.2">
      <c r="Y1303" s="7"/>
      <c r="AA1303" s="8"/>
      <c r="AB1303" s="9"/>
      <c r="AE1303" s="10"/>
      <c r="AF1303" s="11"/>
      <c r="AG1303"/>
    </row>
    <row r="1304" spans="25:33" x14ac:dyDescent="0.2">
      <c r="Y1304" s="7"/>
      <c r="AA1304" s="8"/>
      <c r="AB1304" s="9"/>
      <c r="AE1304" s="10"/>
      <c r="AF1304" s="11"/>
      <c r="AG1304"/>
    </row>
    <row r="1305" spans="25:33" x14ac:dyDescent="0.2">
      <c r="Y1305" s="7"/>
      <c r="AA1305" s="8"/>
      <c r="AB1305" s="9"/>
      <c r="AE1305" s="10"/>
      <c r="AF1305" s="11"/>
      <c r="AG1305"/>
    </row>
    <row r="1306" spans="25:33" x14ac:dyDescent="0.2">
      <c r="Y1306" s="7"/>
      <c r="AA1306" s="8"/>
      <c r="AB1306" s="9"/>
      <c r="AE1306" s="10"/>
      <c r="AF1306" s="11"/>
      <c r="AG1306"/>
    </row>
    <row r="1307" spans="25:33" x14ac:dyDescent="0.2">
      <c r="Y1307" s="7"/>
      <c r="AA1307" s="8"/>
      <c r="AB1307" s="9"/>
      <c r="AE1307" s="10"/>
      <c r="AF1307" s="11"/>
      <c r="AG1307"/>
    </row>
    <row r="1308" spans="25:33" x14ac:dyDescent="0.2">
      <c r="Y1308" s="7"/>
      <c r="AA1308" s="8"/>
      <c r="AB1308" s="9"/>
      <c r="AE1308" s="10"/>
      <c r="AF1308" s="11"/>
      <c r="AG1308"/>
    </row>
    <row r="1309" spans="25:33" x14ac:dyDescent="0.2">
      <c r="Y1309" s="7"/>
      <c r="AA1309" s="8"/>
      <c r="AB1309" s="9"/>
      <c r="AE1309" s="10"/>
      <c r="AF1309" s="11"/>
      <c r="AG1309"/>
    </row>
    <row r="1310" spans="25:33" x14ac:dyDescent="0.2">
      <c r="Y1310" s="7"/>
      <c r="AA1310" s="8"/>
      <c r="AB1310" s="9"/>
      <c r="AE1310" s="10"/>
      <c r="AF1310" s="11"/>
      <c r="AG1310"/>
    </row>
    <row r="1311" spans="25:33" x14ac:dyDescent="0.2">
      <c r="Y1311" s="7"/>
      <c r="AA1311" s="8"/>
      <c r="AB1311" s="9"/>
      <c r="AE1311" s="10"/>
      <c r="AF1311" s="11"/>
      <c r="AG1311"/>
    </row>
    <row r="1312" spans="25:33" x14ac:dyDescent="0.2">
      <c r="Y1312" s="7"/>
      <c r="AA1312" s="8"/>
      <c r="AB1312" s="9"/>
      <c r="AE1312" s="10"/>
      <c r="AF1312" s="11"/>
      <c r="AG1312"/>
    </row>
    <row r="1313" spans="25:33" x14ac:dyDescent="0.2">
      <c r="Y1313" s="7"/>
      <c r="AA1313" s="8"/>
      <c r="AB1313" s="9"/>
      <c r="AE1313" s="10"/>
      <c r="AF1313" s="11"/>
      <c r="AG1313"/>
    </row>
    <row r="1314" spans="25:33" x14ac:dyDescent="0.2">
      <c r="Y1314" s="7"/>
      <c r="AA1314" s="8"/>
      <c r="AB1314" s="9"/>
      <c r="AE1314" s="10"/>
      <c r="AF1314" s="11"/>
      <c r="AG1314"/>
    </row>
    <row r="1315" spans="25:33" x14ac:dyDescent="0.2">
      <c r="Y1315" s="7"/>
      <c r="AA1315" s="8"/>
      <c r="AB1315" s="9"/>
      <c r="AE1315" s="10"/>
      <c r="AF1315" s="11"/>
      <c r="AG1315"/>
    </row>
    <row r="1316" spans="25:33" x14ac:dyDescent="0.2">
      <c r="Y1316" s="7"/>
      <c r="AA1316" s="8"/>
      <c r="AB1316" s="9"/>
      <c r="AE1316" s="10"/>
      <c r="AF1316" s="11"/>
      <c r="AG1316"/>
    </row>
    <row r="1317" spans="25:33" x14ac:dyDescent="0.2">
      <c r="Y1317" s="7"/>
      <c r="AA1317" s="8"/>
      <c r="AB1317" s="9"/>
      <c r="AE1317" s="10"/>
      <c r="AF1317" s="11"/>
      <c r="AG1317"/>
    </row>
    <row r="1318" spans="25:33" x14ac:dyDescent="0.2">
      <c r="Y1318" s="7"/>
      <c r="AA1318" s="8"/>
      <c r="AB1318" s="9"/>
      <c r="AE1318" s="10"/>
      <c r="AF1318" s="11"/>
      <c r="AG1318"/>
    </row>
    <row r="1319" spans="25:33" x14ac:dyDescent="0.2">
      <c r="Y1319" s="7"/>
      <c r="AA1319" s="8"/>
      <c r="AB1319" s="9"/>
      <c r="AE1319" s="10"/>
      <c r="AF1319" s="11"/>
      <c r="AG1319"/>
    </row>
    <row r="1320" spans="25:33" x14ac:dyDescent="0.2">
      <c r="Y1320" s="7"/>
      <c r="AA1320" s="8"/>
      <c r="AB1320" s="9"/>
      <c r="AE1320" s="10"/>
      <c r="AF1320" s="11"/>
      <c r="AG1320"/>
    </row>
    <row r="1321" spans="25:33" x14ac:dyDescent="0.2">
      <c r="Y1321" s="7"/>
      <c r="AA1321" s="8"/>
      <c r="AB1321" s="9"/>
      <c r="AE1321" s="10"/>
      <c r="AF1321" s="11"/>
      <c r="AG1321"/>
    </row>
    <row r="1322" spans="25:33" x14ac:dyDescent="0.2">
      <c r="Y1322" s="7"/>
      <c r="AA1322" s="8"/>
      <c r="AB1322" s="9"/>
      <c r="AE1322" s="10"/>
      <c r="AF1322" s="11"/>
      <c r="AG1322"/>
    </row>
    <row r="1323" spans="25:33" x14ac:dyDescent="0.2">
      <c r="Y1323" s="7"/>
      <c r="AA1323" s="8"/>
      <c r="AB1323" s="9"/>
      <c r="AE1323" s="10"/>
      <c r="AF1323" s="11"/>
      <c r="AG1323"/>
    </row>
    <row r="1324" spans="25:33" x14ac:dyDescent="0.2">
      <c r="Y1324" s="7"/>
      <c r="AA1324" s="8"/>
      <c r="AB1324" s="9"/>
      <c r="AE1324" s="10"/>
      <c r="AF1324" s="11"/>
      <c r="AG1324"/>
    </row>
    <row r="1325" spans="25:33" x14ac:dyDescent="0.2">
      <c r="Y1325" s="7"/>
      <c r="AA1325" s="8"/>
      <c r="AB1325" s="9"/>
      <c r="AE1325" s="10"/>
      <c r="AF1325" s="11"/>
      <c r="AG1325"/>
    </row>
    <row r="1326" spans="25:33" x14ac:dyDescent="0.2">
      <c r="Y1326" s="7"/>
      <c r="AA1326" s="8"/>
      <c r="AB1326" s="9"/>
      <c r="AE1326" s="10"/>
      <c r="AF1326" s="11"/>
      <c r="AG1326"/>
    </row>
    <row r="1327" spans="25:33" x14ac:dyDescent="0.2">
      <c r="Y1327" s="7"/>
      <c r="AA1327" s="8"/>
      <c r="AB1327" s="9"/>
      <c r="AE1327" s="10"/>
      <c r="AF1327" s="11"/>
      <c r="AG1327"/>
    </row>
    <row r="1328" spans="25:33" x14ac:dyDescent="0.2">
      <c r="Y1328" s="7"/>
      <c r="AA1328" s="8"/>
      <c r="AB1328" s="9"/>
      <c r="AE1328" s="10"/>
      <c r="AF1328" s="11"/>
      <c r="AG1328"/>
    </row>
    <row r="1329" spans="25:33" x14ac:dyDescent="0.2">
      <c r="Y1329" s="7"/>
      <c r="AA1329" s="8"/>
      <c r="AB1329" s="9"/>
      <c r="AE1329" s="10"/>
      <c r="AF1329" s="11"/>
      <c r="AG1329"/>
    </row>
    <row r="1330" spans="25:33" x14ac:dyDescent="0.2">
      <c r="Y1330" s="7"/>
      <c r="AA1330" s="8"/>
      <c r="AB1330" s="9"/>
      <c r="AE1330" s="10"/>
      <c r="AF1330" s="11"/>
      <c r="AG1330"/>
    </row>
    <row r="1331" spans="25:33" x14ac:dyDescent="0.2">
      <c r="Y1331" s="7"/>
      <c r="AA1331" s="8"/>
      <c r="AB1331" s="9"/>
      <c r="AE1331" s="10"/>
      <c r="AF1331" s="11"/>
      <c r="AG1331"/>
    </row>
    <row r="1332" spans="25:33" x14ac:dyDescent="0.2">
      <c r="Y1332" s="7"/>
      <c r="AA1332" s="8"/>
      <c r="AB1332" s="9"/>
      <c r="AE1332" s="10"/>
      <c r="AF1332" s="11"/>
      <c r="AG1332"/>
    </row>
    <row r="1333" spans="25:33" x14ac:dyDescent="0.2">
      <c r="Y1333" s="7"/>
      <c r="AA1333" s="8"/>
      <c r="AB1333" s="9"/>
      <c r="AE1333" s="10"/>
      <c r="AF1333" s="11"/>
      <c r="AG1333"/>
    </row>
    <row r="1334" spans="25:33" x14ac:dyDescent="0.2">
      <c r="Y1334" s="7"/>
      <c r="AA1334" s="8"/>
      <c r="AB1334" s="9"/>
      <c r="AE1334" s="10"/>
      <c r="AF1334" s="11"/>
      <c r="AG1334"/>
    </row>
    <row r="1335" spans="25:33" x14ac:dyDescent="0.2">
      <c r="Y1335" s="7"/>
      <c r="AA1335" s="8"/>
      <c r="AB1335" s="9"/>
      <c r="AE1335" s="10"/>
      <c r="AF1335" s="11"/>
      <c r="AG1335"/>
    </row>
    <row r="1336" spans="25:33" x14ac:dyDescent="0.2">
      <c r="Y1336" s="7"/>
      <c r="AA1336" s="8"/>
      <c r="AB1336" s="9"/>
      <c r="AE1336" s="10"/>
      <c r="AF1336" s="11"/>
      <c r="AG1336"/>
    </row>
    <row r="1337" spans="25:33" x14ac:dyDescent="0.2">
      <c r="Y1337" s="7"/>
      <c r="AA1337" s="8"/>
      <c r="AB1337" s="9"/>
      <c r="AE1337" s="10"/>
      <c r="AF1337" s="11"/>
      <c r="AG1337"/>
    </row>
    <row r="1338" spans="25:33" x14ac:dyDescent="0.2">
      <c r="Y1338" s="7"/>
      <c r="AA1338" s="8"/>
      <c r="AB1338" s="9"/>
      <c r="AE1338" s="10"/>
      <c r="AF1338" s="11"/>
      <c r="AG1338"/>
    </row>
    <row r="1339" spans="25:33" x14ac:dyDescent="0.2">
      <c r="Y1339" s="7"/>
      <c r="AA1339" s="8"/>
      <c r="AB1339" s="9"/>
      <c r="AE1339" s="10"/>
      <c r="AF1339" s="11"/>
      <c r="AG1339"/>
    </row>
    <row r="1340" spans="25:33" x14ac:dyDescent="0.2">
      <c r="Y1340" s="7"/>
      <c r="AA1340" s="8"/>
      <c r="AB1340" s="9"/>
      <c r="AE1340" s="10"/>
      <c r="AF1340" s="11"/>
      <c r="AG1340"/>
    </row>
    <row r="1341" spans="25:33" x14ac:dyDescent="0.2">
      <c r="Y1341" s="7"/>
      <c r="AA1341" s="8"/>
      <c r="AB1341" s="9"/>
      <c r="AE1341" s="10"/>
      <c r="AF1341" s="11"/>
      <c r="AG1341"/>
    </row>
    <row r="1342" spans="25:33" x14ac:dyDescent="0.2">
      <c r="Y1342" s="7"/>
      <c r="AA1342" s="8"/>
      <c r="AB1342" s="9"/>
      <c r="AE1342" s="10"/>
      <c r="AF1342" s="11"/>
      <c r="AG1342"/>
    </row>
    <row r="1343" spans="25:33" x14ac:dyDescent="0.2">
      <c r="Y1343" s="7"/>
      <c r="AA1343" s="8"/>
      <c r="AB1343" s="9"/>
      <c r="AE1343" s="10"/>
      <c r="AF1343" s="11"/>
      <c r="AG1343"/>
    </row>
    <row r="1344" spans="25:33" x14ac:dyDescent="0.2">
      <c r="Y1344" s="7"/>
      <c r="AA1344" s="8"/>
      <c r="AB1344" s="9"/>
      <c r="AE1344" s="10"/>
      <c r="AF1344" s="11"/>
      <c r="AG1344"/>
    </row>
    <row r="1345" spans="25:33" x14ac:dyDescent="0.2">
      <c r="Y1345" s="7"/>
      <c r="AA1345" s="8"/>
      <c r="AB1345" s="9"/>
      <c r="AE1345" s="10"/>
      <c r="AF1345" s="11"/>
      <c r="AG1345"/>
    </row>
    <row r="1346" spans="25:33" x14ac:dyDescent="0.2">
      <c r="Y1346" s="7"/>
      <c r="AA1346" s="8"/>
      <c r="AB1346" s="9"/>
      <c r="AE1346" s="10"/>
      <c r="AF1346" s="11"/>
      <c r="AG1346"/>
    </row>
    <row r="1347" spans="25:33" x14ac:dyDescent="0.2">
      <c r="Y1347" s="7"/>
      <c r="AA1347" s="8"/>
      <c r="AB1347" s="9"/>
      <c r="AE1347" s="10"/>
      <c r="AF1347" s="11"/>
      <c r="AG1347"/>
    </row>
    <row r="1348" spans="25:33" x14ac:dyDescent="0.2">
      <c r="Y1348" s="7"/>
      <c r="AA1348" s="8"/>
      <c r="AB1348" s="9"/>
      <c r="AE1348" s="10"/>
      <c r="AF1348" s="11"/>
      <c r="AG1348"/>
    </row>
    <row r="1349" spans="25:33" x14ac:dyDescent="0.2">
      <c r="Y1349" s="7"/>
      <c r="AA1349" s="8"/>
      <c r="AB1349" s="9"/>
      <c r="AE1349" s="10"/>
      <c r="AF1349" s="11"/>
      <c r="AG1349"/>
    </row>
    <row r="1350" spans="25:33" x14ac:dyDescent="0.2">
      <c r="Y1350" s="7"/>
      <c r="AA1350" s="8"/>
      <c r="AB1350" s="9"/>
      <c r="AE1350" s="10"/>
      <c r="AF1350" s="11"/>
      <c r="AG1350"/>
    </row>
    <row r="1351" spans="25:33" x14ac:dyDescent="0.2">
      <c r="Y1351" s="7"/>
      <c r="AA1351" s="8"/>
      <c r="AB1351" s="9"/>
      <c r="AE1351" s="10"/>
      <c r="AF1351" s="11"/>
      <c r="AG1351"/>
    </row>
    <row r="1352" spans="25:33" x14ac:dyDescent="0.2">
      <c r="Y1352" s="7"/>
      <c r="AA1352" s="8"/>
      <c r="AB1352" s="9"/>
      <c r="AE1352" s="10"/>
      <c r="AF1352" s="11"/>
      <c r="AG1352"/>
    </row>
    <row r="1353" spans="25:33" x14ac:dyDescent="0.2">
      <c r="Y1353" s="7"/>
      <c r="AA1353" s="8"/>
      <c r="AB1353" s="9"/>
      <c r="AE1353" s="10"/>
      <c r="AF1353" s="11"/>
      <c r="AG1353"/>
    </row>
    <row r="1354" spans="25:33" x14ac:dyDescent="0.2">
      <c r="Y1354" s="7"/>
      <c r="AA1354" s="8"/>
      <c r="AB1354" s="9"/>
      <c r="AE1354" s="10"/>
      <c r="AF1354" s="11"/>
      <c r="AG1354"/>
    </row>
    <row r="1355" spans="25:33" x14ac:dyDescent="0.2">
      <c r="Y1355" s="7"/>
      <c r="AA1355" s="8"/>
      <c r="AB1355" s="9"/>
      <c r="AE1355" s="10"/>
      <c r="AF1355" s="11"/>
      <c r="AG1355"/>
    </row>
    <row r="1356" spans="25:33" x14ac:dyDescent="0.2">
      <c r="Y1356" s="7"/>
      <c r="AA1356" s="8"/>
      <c r="AB1356" s="9"/>
      <c r="AE1356" s="10"/>
      <c r="AF1356" s="11"/>
      <c r="AG1356"/>
    </row>
    <row r="1357" spans="25:33" x14ac:dyDescent="0.2">
      <c r="Y1357" s="7"/>
      <c r="AA1357" s="8"/>
      <c r="AB1357" s="9"/>
      <c r="AE1357" s="10"/>
      <c r="AF1357" s="11"/>
      <c r="AG1357"/>
    </row>
    <row r="1358" spans="25:33" x14ac:dyDescent="0.2">
      <c r="Y1358" s="7"/>
      <c r="AA1358" s="8"/>
      <c r="AB1358" s="9"/>
      <c r="AE1358" s="10"/>
      <c r="AF1358" s="11"/>
      <c r="AG1358"/>
    </row>
    <row r="1359" spans="25:33" x14ac:dyDescent="0.2">
      <c r="Y1359" s="7"/>
      <c r="AA1359" s="8"/>
      <c r="AB1359" s="9"/>
      <c r="AE1359" s="10"/>
      <c r="AF1359" s="11"/>
      <c r="AG1359"/>
    </row>
    <row r="1360" spans="25:33" x14ac:dyDescent="0.2">
      <c r="Y1360" s="7"/>
      <c r="AA1360" s="8"/>
      <c r="AB1360" s="9"/>
      <c r="AE1360" s="10"/>
      <c r="AF1360" s="11"/>
      <c r="AG1360"/>
    </row>
    <row r="1361" spans="25:33" x14ac:dyDescent="0.2">
      <c r="Y1361" s="7"/>
      <c r="AA1361" s="8"/>
      <c r="AB1361" s="9"/>
      <c r="AE1361" s="10"/>
      <c r="AF1361" s="11"/>
      <c r="AG1361"/>
    </row>
    <row r="1362" spans="25:33" x14ac:dyDescent="0.2">
      <c r="Y1362" s="7"/>
      <c r="AA1362" s="8"/>
      <c r="AB1362" s="9"/>
      <c r="AE1362" s="10"/>
      <c r="AF1362" s="11"/>
      <c r="AG1362"/>
    </row>
    <row r="1363" spans="25:33" x14ac:dyDescent="0.2">
      <c r="Y1363" s="7"/>
      <c r="AA1363" s="8"/>
      <c r="AB1363" s="9"/>
      <c r="AE1363" s="10"/>
      <c r="AF1363" s="11"/>
      <c r="AG1363"/>
    </row>
    <row r="1364" spans="25:33" x14ac:dyDescent="0.2">
      <c r="Y1364" s="7"/>
      <c r="AA1364" s="8"/>
      <c r="AB1364" s="9"/>
      <c r="AE1364" s="10"/>
      <c r="AF1364" s="11"/>
      <c r="AG1364"/>
    </row>
    <row r="1365" spans="25:33" x14ac:dyDescent="0.2">
      <c r="Y1365" s="7"/>
      <c r="AA1365" s="8"/>
      <c r="AB1365" s="9"/>
      <c r="AE1365" s="10"/>
      <c r="AF1365" s="11"/>
      <c r="AG1365"/>
    </row>
    <row r="1366" spans="25:33" x14ac:dyDescent="0.2">
      <c r="Y1366" s="7"/>
      <c r="AA1366" s="8"/>
      <c r="AB1366" s="9"/>
      <c r="AE1366" s="10"/>
      <c r="AF1366" s="11"/>
      <c r="AG1366"/>
    </row>
    <row r="1367" spans="25:33" x14ac:dyDescent="0.2">
      <c r="Y1367" s="7"/>
      <c r="AA1367" s="8"/>
      <c r="AB1367" s="9"/>
      <c r="AE1367" s="10"/>
      <c r="AF1367" s="11"/>
      <c r="AG1367"/>
    </row>
    <row r="1368" spans="25:33" x14ac:dyDescent="0.2">
      <c r="Y1368" s="7"/>
      <c r="AA1368" s="8"/>
      <c r="AB1368" s="9"/>
      <c r="AE1368" s="10"/>
      <c r="AF1368" s="11"/>
      <c r="AG1368"/>
    </row>
    <row r="1369" spans="25:33" x14ac:dyDescent="0.2">
      <c r="Y1369" s="7"/>
      <c r="AA1369" s="8"/>
      <c r="AB1369" s="9"/>
      <c r="AE1369" s="10"/>
      <c r="AF1369" s="11"/>
      <c r="AG1369"/>
    </row>
    <row r="1370" spans="25:33" x14ac:dyDescent="0.2">
      <c r="Y1370" s="7"/>
      <c r="AA1370" s="8"/>
      <c r="AB1370" s="9"/>
      <c r="AE1370" s="10"/>
      <c r="AF1370" s="11"/>
      <c r="AG1370"/>
    </row>
    <row r="1371" spans="25:33" x14ac:dyDescent="0.2">
      <c r="Y1371" s="7"/>
      <c r="AA1371" s="8"/>
      <c r="AB1371" s="9"/>
      <c r="AE1371" s="10"/>
      <c r="AF1371" s="11"/>
      <c r="AG1371"/>
    </row>
    <row r="1372" spans="25:33" x14ac:dyDescent="0.2">
      <c r="Y1372" s="7"/>
      <c r="AA1372" s="8"/>
      <c r="AB1372" s="9"/>
      <c r="AE1372" s="10"/>
      <c r="AF1372" s="11"/>
      <c r="AG1372"/>
    </row>
    <row r="1373" spans="25:33" x14ac:dyDescent="0.2">
      <c r="Y1373" s="7"/>
      <c r="AA1373" s="8"/>
      <c r="AB1373" s="9"/>
      <c r="AE1373" s="10"/>
      <c r="AF1373" s="11"/>
      <c r="AG1373"/>
    </row>
    <row r="1374" spans="25:33" x14ac:dyDescent="0.2">
      <c r="Y1374" s="7"/>
      <c r="AA1374" s="8"/>
      <c r="AB1374" s="9"/>
      <c r="AE1374" s="10"/>
      <c r="AF1374" s="11"/>
      <c r="AG1374"/>
    </row>
    <row r="1375" spans="25:33" x14ac:dyDescent="0.2">
      <c r="Y1375" s="7"/>
      <c r="AA1375" s="8"/>
      <c r="AB1375" s="9"/>
      <c r="AE1375" s="10"/>
      <c r="AF1375" s="11"/>
      <c r="AG1375"/>
    </row>
    <row r="1376" spans="25:33" x14ac:dyDescent="0.2">
      <c r="Y1376" s="7"/>
      <c r="AA1376" s="8"/>
      <c r="AB1376" s="9"/>
      <c r="AE1376" s="10"/>
      <c r="AF1376" s="11"/>
      <c r="AG1376"/>
    </row>
    <row r="1377" spans="25:33" x14ac:dyDescent="0.2">
      <c r="Y1377" s="7"/>
      <c r="AA1377" s="8"/>
      <c r="AB1377" s="9"/>
      <c r="AE1377" s="10"/>
      <c r="AF1377" s="11"/>
      <c r="AG1377"/>
    </row>
    <row r="1378" spans="25:33" x14ac:dyDescent="0.2">
      <c r="Y1378" s="7"/>
      <c r="AA1378" s="8"/>
      <c r="AB1378" s="9"/>
      <c r="AE1378" s="10"/>
      <c r="AF1378" s="11"/>
      <c r="AG1378"/>
    </row>
    <row r="1379" spans="25:33" x14ac:dyDescent="0.2">
      <c r="Y1379" s="7"/>
      <c r="AA1379" s="8"/>
      <c r="AB1379" s="9"/>
      <c r="AE1379" s="10"/>
      <c r="AF1379" s="11"/>
      <c r="AG1379"/>
    </row>
    <row r="1380" spans="25:33" x14ac:dyDescent="0.2">
      <c r="Y1380" s="7"/>
      <c r="AA1380" s="8"/>
      <c r="AB1380" s="9"/>
      <c r="AE1380" s="10"/>
      <c r="AF1380" s="11"/>
      <c r="AG1380"/>
    </row>
    <row r="1381" spans="25:33" x14ac:dyDescent="0.2">
      <c r="Y1381" s="7"/>
      <c r="AA1381" s="8"/>
      <c r="AB1381" s="9"/>
      <c r="AE1381" s="10"/>
      <c r="AF1381" s="11"/>
      <c r="AG1381"/>
    </row>
    <row r="1382" spans="25:33" x14ac:dyDescent="0.2">
      <c r="Y1382" s="7"/>
      <c r="AA1382" s="8"/>
      <c r="AB1382" s="9"/>
      <c r="AE1382" s="10"/>
      <c r="AF1382" s="11"/>
      <c r="AG1382"/>
    </row>
    <row r="1383" spans="25:33" x14ac:dyDescent="0.2">
      <c r="Y1383" s="7"/>
      <c r="AA1383" s="8"/>
      <c r="AB1383" s="9"/>
      <c r="AE1383" s="10"/>
      <c r="AF1383" s="11"/>
      <c r="AG1383"/>
    </row>
    <row r="1384" spans="25:33" x14ac:dyDescent="0.2">
      <c r="Y1384" s="7"/>
      <c r="AA1384" s="8"/>
      <c r="AB1384" s="9"/>
      <c r="AE1384" s="10"/>
      <c r="AF1384" s="11"/>
      <c r="AG1384"/>
    </row>
    <row r="1385" spans="25:33" x14ac:dyDescent="0.2">
      <c r="Y1385" s="7"/>
      <c r="AA1385" s="8"/>
      <c r="AB1385" s="9"/>
      <c r="AE1385" s="10"/>
      <c r="AF1385" s="11"/>
      <c r="AG1385"/>
    </row>
    <row r="1386" spans="25:33" x14ac:dyDescent="0.2">
      <c r="Y1386" s="7"/>
      <c r="AA1386" s="8"/>
      <c r="AB1386" s="9"/>
      <c r="AE1386" s="10"/>
      <c r="AF1386" s="11"/>
      <c r="AG1386"/>
    </row>
    <row r="1387" spans="25:33" x14ac:dyDescent="0.2">
      <c r="Y1387" s="7"/>
      <c r="AA1387" s="8"/>
      <c r="AB1387" s="9"/>
      <c r="AE1387" s="10"/>
      <c r="AF1387" s="11"/>
      <c r="AG1387"/>
    </row>
    <row r="1388" spans="25:33" x14ac:dyDescent="0.2">
      <c r="Y1388" s="7"/>
      <c r="AA1388" s="8"/>
      <c r="AB1388" s="9"/>
      <c r="AE1388" s="10"/>
      <c r="AF1388" s="11"/>
      <c r="AG1388"/>
    </row>
    <row r="1389" spans="25:33" x14ac:dyDescent="0.2">
      <c r="Y1389" s="7"/>
      <c r="AA1389" s="8"/>
      <c r="AB1389" s="9"/>
      <c r="AE1389" s="10"/>
      <c r="AF1389" s="11"/>
      <c r="AG1389"/>
    </row>
    <row r="1390" spans="25:33" x14ac:dyDescent="0.2">
      <c r="Y1390" s="7"/>
      <c r="AA1390" s="8"/>
      <c r="AB1390" s="9"/>
      <c r="AE1390" s="10"/>
      <c r="AF1390" s="11"/>
      <c r="AG1390"/>
    </row>
    <row r="1391" spans="25:33" x14ac:dyDescent="0.2">
      <c r="Y1391" s="7"/>
      <c r="AA1391" s="8"/>
      <c r="AB1391" s="9"/>
      <c r="AE1391" s="10"/>
      <c r="AF1391" s="11"/>
      <c r="AG1391"/>
    </row>
    <row r="1392" spans="25:33" x14ac:dyDescent="0.2">
      <c r="Y1392" s="7"/>
      <c r="AA1392" s="8"/>
      <c r="AB1392" s="9"/>
      <c r="AE1392" s="10"/>
      <c r="AF1392" s="11"/>
      <c r="AG1392"/>
    </row>
    <row r="1393" spans="25:33" x14ac:dyDescent="0.2">
      <c r="Y1393" s="7"/>
      <c r="AA1393" s="8"/>
      <c r="AB1393" s="9"/>
      <c r="AE1393" s="10"/>
      <c r="AF1393" s="11"/>
      <c r="AG1393"/>
    </row>
    <row r="1394" spans="25:33" x14ac:dyDescent="0.2">
      <c r="Y1394" s="7"/>
      <c r="AA1394" s="8"/>
      <c r="AB1394" s="9"/>
      <c r="AE1394" s="10"/>
      <c r="AF1394" s="11"/>
      <c r="AG1394"/>
    </row>
    <row r="1395" spans="25:33" x14ac:dyDescent="0.2">
      <c r="Y1395" s="7"/>
      <c r="AA1395" s="8"/>
      <c r="AB1395" s="9"/>
      <c r="AE1395" s="10"/>
      <c r="AF1395" s="11"/>
      <c r="AG1395"/>
    </row>
    <row r="1396" spans="25:33" x14ac:dyDescent="0.2">
      <c r="Y1396" s="7"/>
      <c r="AA1396" s="8"/>
      <c r="AB1396" s="9"/>
      <c r="AE1396" s="10"/>
      <c r="AF1396" s="11"/>
      <c r="AG1396"/>
    </row>
    <row r="1397" spans="25:33" x14ac:dyDescent="0.2">
      <c r="Y1397" s="7"/>
      <c r="AA1397" s="8"/>
      <c r="AB1397" s="9"/>
      <c r="AE1397" s="10"/>
      <c r="AF1397" s="11"/>
      <c r="AG1397"/>
    </row>
    <row r="1398" spans="25:33" x14ac:dyDescent="0.2">
      <c r="Y1398" s="7"/>
      <c r="AA1398" s="8"/>
      <c r="AB1398" s="9"/>
      <c r="AE1398" s="10"/>
      <c r="AF1398" s="11"/>
      <c r="AG1398"/>
    </row>
    <row r="1399" spans="25:33" x14ac:dyDescent="0.2">
      <c r="Y1399" s="7"/>
      <c r="AA1399" s="8"/>
      <c r="AB1399" s="9"/>
      <c r="AE1399" s="10"/>
      <c r="AF1399" s="11"/>
      <c r="AG1399"/>
    </row>
    <row r="1400" spans="25:33" x14ac:dyDescent="0.2">
      <c r="Y1400" s="7"/>
      <c r="AA1400" s="8"/>
      <c r="AB1400" s="9"/>
      <c r="AE1400" s="10"/>
      <c r="AF1400" s="11"/>
      <c r="AG1400"/>
    </row>
    <row r="1401" spans="25:33" x14ac:dyDescent="0.2">
      <c r="Y1401" s="7"/>
      <c r="AA1401" s="8"/>
      <c r="AB1401" s="9"/>
      <c r="AE1401" s="10"/>
      <c r="AF1401" s="11"/>
      <c r="AG1401"/>
    </row>
    <row r="1402" spans="25:33" x14ac:dyDescent="0.2">
      <c r="Y1402" s="7"/>
      <c r="AA1402" s="8"/>
      <c r="AB1402" s="9"/>
      <c r="AE1402" s="10"/>
      <c r="AF1402" s="11"/>
      <c r="AG1402"/>
    </row>
    <row r="1403" spans="25:33" x14ac:dyDescent="0.2">
      <c r="Y1403" s="7"/>
      <c r="AA1403" s="8"/>
      <c r="AB1403" s="9"/>
      <c r="AE1403" s="10"/>
      <c r="AF1403" s="11"/>
      <c r="AG1403"/>
    </row>
    <row r="1404" spans="25:33" x14ac:dyDescent="0.2">
      <c r="Y1404" s="7"/>
      <c r="AA1404" s="8"/>
      <c r="AB1404" s="9"/>
      <c r="AE1404" s="10"/>
      <c r="AF1404" s="11"/>
      <c r="AG1404"/>
    </row>
    <row r="1405" spans="25:33" x14ac:dyDescent="0.2">
      <c r="Y1405" s="7"/>
      <c r="AA1405" s="8"/>
      <c r="AB1405" s="9"/>
      <c r="AE1405" s="10"/>
      <c r="AF1405" s="11"/>
      <c r="AG1405"/>
    </row>
    <row r="1406" spans="25:33" x14ac:dyDescent="0.2">
      <c r="Y1406" s="7"/>
      <c r="AA1406" s="8"/>
      <c r="AB1406" s="9"/>
      <c r="AE1406" s="10"/>
      <c r="AF1406" s="11"/>
      <c r="AG1406"/>
    </row>
    <row r="1407" spans="25:33" x14ac:dyDescent="0.2">
      <c r="Y1407" s="7"/>
      <c r="AA1407" s="8"/>
      <c r="AB1407" s="9"/>
      <c r="AE1407" s="10"/>
      <c r="AF1407" s="11"/>
      <c r="AG1407"/>
    </row>
    <row r="1408" spans="25:33" x14ac:dyDescent="0.2">
      <c r="Y1408" s="7"/>
      <c r="AA1408" s="8"/>
      <c r="AB1408" s="9"/>
      <c r="AE1408" s="10"/>
      <c r="AF1408" s="11"/>
      <c r="AG1408"/>
    </row>
    <row r="1409" spans="25:33" x14ac:dyDescent="0.2">
      <c r="Y1409" s="7"/>
      <c r="AA1409" s="8"/>
      <c r="AB1409" s="9"/>
      <c r="AE1409" s="10"/>
      <c r="AF1409" s="11"/>
      <c r="AG1409"/>
    </row>
    <row r="1410" spans="25:33" x14ac:dyDescent="0.2">
      <c r="Y1410" s="7"/>
      <c r="AA1410" s="8"/>
      <c r="AB1410" s="9"/>
      <c r="AE1410" s="10"/>
      <c r="AF1410" s="11"/>
      <c r="AG1410"/>
    </row>
    <row r="1411" spans="25:33" x14ac:dyDescent="0.2">
      <c r="Y1411" s="7"/>
      <c r="AA1411" s="8"/>
      <c r="AB1411" s="9"/>
      <c r="AE1411" s="10"/>
      <c r="AF1411" s="11"/>
      <c r="AG1411"/>
    </row>
    <row r="1412" spans="25:33" x14ac:dyDescent="0.2">
      <c r="Y1412" s="7"/>
      <c r="AA1412" s="8"/>
      <c r="AB1412" s="9"/>
      <c r="AE1412" s="10"/>
      <c r="AF1412" s="11"/>
      <c r="AG1412"/>
    </row>
    <row r="1413" spans="25:33" x14ac:dyDescent="0.2">
      <c r="Y1413" s="7"/>
      <c r="AA1413" s="8"/>
      <c r="AB1413" s="9"/>
      <c r="AE1413" s="10"/>
      <c r="AF1413" s="11"/>
      <c r="AG1413"/>
    </row>
    <row r="1414" spans="25:33" x14ac:dyDescent="0.2">
      <c r="Y1414" s="7"/>
      <c r="AA1414" s="8"/>
      <c r="AB1414" s="9"/>
      <c r="AE1414" s="10"/>
      <c r="AF1414" s="11"/>
      <c r="AG1414"/>
    </row>
    <row r="1415" spans="25:33" x14ac:dyDescent="0.2">
      <c r="Y1415" s="7"/>
      <c r="AA1415" s="8"/>
      <c r="AB1415" s="9"/>
      <c r="AE1415" s="10"/>
      <c r="AF1415" s="11"/>
      <c r="AG1415"/>
    </row>
    <row r="1416" spans="25:33" x14ac:dyDescent="0.2">
      <c r="Y1416" s="7"/>
      <c r="AA1416" s="8"/>
      <c r="AB1416" s="9"/>
      <c r="AE1416" s="10"/>
      <c r="AF1416" s="11"/>
      <c r="AG1416"/>
    </row>
    <row r="1417" spans="25:33" x14ac:dyDescent="0.2">
      <c r="Y1417" s="7"/>
      <c r="AA1417" s="8"/>
      <c r="AB1417" s="9"/>
      <c r="AE1417" s="10"/>
      <c r="AF1417" s="11"/>
      <c r="AG1417"/>
    </row>
    <row r="1418" spans="25:33" x14ac:dyDescent="0.2">
      <c r="Y1418" s="7"/>
      <c r="AA1418" s="8"/>
      <c r="AB1418" s="9"/>
      <c r="AE1418" s="10"/>
      <c r="AF1418" s="11"/>
      <c r="AG1418"/>
    </row>
    <row r="1419" spans="25:33" x14ac:dyDescent="0.2">
      <c r="Y1419" s="7"/>
      <c r="AA1419" s="8"/>
      <c r="AB1419" s="9"/>
      <c r="AE1419" s="10"/>
      <c r="AF1419" s="11"/>
      <c r="AG1419"/>
    </row>
    <row r="1420" spans="25:33" x14ac:dyDescent="0.2">
      <c r="Y1420" s="7"/>
      <c r="AA1420" s="8"/>
      <c r="AB1420" s="9"/>
      <c r="AE1420" s="10"/>
      <c r="AF1420" s="11"/>
      <c r="AG1420"/>
    </row>
    <row r="1421" spans="25:33" x14ac:dyDescent="0.2">
      <c r="Y1421" s="7"/>
      <c r="AA1421" s="8"/>
      <c r="AB1421" s="9"/>
      <c r="AE1421" s="10"/>
      <c r="AF1421" s="11"/>
      <c r="AG1421"/>
    </row>
    <row r="1422" spans="25:33" x14ac:dyDescent="0.2">
      <c r="Y1422" s="7"/>
      <c r="AA1422" s="8"/>
      <c r="AB1422" s="9"/>
      <c r="AE1422" s="10"/>
      <c r="AF1422" s="11"/>
      <c r="AG1422"/>
    </row>
    <row r="1423" spans="25:33" x14ac:dyDescent="0.2">
      <c r="Y1423" s="7"/>
      <c r="AA1423" s="8"/>
      <c r="AB1423" s="9"/>
      <c r="AE1423" s="10"/>
      <c r="AF1423" s="11"/>
      <c r="AG1423"/>
    </row>
    <row r="1424" spans="25:33" x14ac:dyDescent="0.2">
      <c r="Y1424" s="7"/>
      <c r="AA1424" s="8"/>
      <c r="AB1424" s="9"/>
      <c r="AE1424" s="10"/>
      <c r="AF1424" s="11"/>
      <c r="AG1424"/>
    </row>
    <row r="1425" spans="25:33" x14ac:dyDescent="0.2">
      <c r="Y1425" s="7"/>
      <c r="AA1425" s="8"/>
      <c r="AB1425" s="9"/>
      <c r="AE1425" s="10"/>
      <c r="AF1425" s="11"/>
      <c r="AG1425"/>
    </row>
    <row r="1426" spans="25:33" x14ac:dyDescent="0.2">
      <c r="Y1426" s="7"/>
      <c r="AA1426" s="8"/>
      <c r="AB1426" s="9"/>
      <c r="AE1426" s="10"/>
      <c r="AF1426" s="11"/>
      <c r="AG1426"/>
    </row>
    <row r="1427" spans="25:33" x14ac:dyDescent="0.2">
      <c r="Y1427" s="7"/>
      <c r="AA1427" s="8"/>
      <c r="AB1427" s="9"/>
      <c r="AE1427" s="10"/>
      <c r="AF1427" s="11"/>
      <c r="AG1427"/>
    </row>
    <row r="1428" spans="25:33" x14ac:dyDescent="0.2">
      <c r="Y1428" s="7"/>
      <c r="AA1428" s="8"/>
      <c r="AB1428" s="9"/>
      <c r="AE1428" s="10"/>
      <c r="AF1428" s="11"/>
      <c r="AG1428"/>
    </row>
    <row r="1429" spans="25:33" x14ac:dyDescent="0.2">
      <c r="Y1429" s="7"/>
      <c r="AA1429" s="8"/>
      <c r="AB1429" s="9"/>
      <c r="AE1429" s="10"/>
      <c r="AF1429" s="11"/>
      <c r="AG1429"/>
    </row>
    <row r="1430" spans="25:33" x14ac:dyDescent="0.2">
      <c r="Y1430" s="7"/>
      <c r="AA1430" s="8"/>
      <c r="AB1430" s="9"/>
      <c r="AE1430" s="10"/>
      <c r="AF1430" s="11"/>
      <c r="AG1430"/>
    </row>
    <row r="1431" spans="25:33" x14ac:dyDescent="0.2">
      <c r="Y1431" s="7"/>
      <c r="AA1431" s="8"/>
      <c r="AB1431" s="9"/>
      <c r="AE1431" s="10"/>
      <c r="AF1431" s="11"/>
      <c r="AG1431"/>
    </row>
    <row r="1432" spans="25:33" x14ac:dyDescent="0.2">
      <c r="Y1432" s="7"/>
      <c r="AA1432" s="8"/>
      <c r="AB1432" s="9"/>
      <c r="AE1432" s="10"/>
      <c r="AF1432" s="11"/>
      <c r="AG1432"/>
    </row>
    <row r="1433" spans="25:33" x14ac:dyDescent="0.2">
      <c r="Y1433" s="7"/>
      <c r="AA1433" s="8"/>
      <c r="AB1433" s="9"/>
      <c r="AE1433" s="10"/>
      <c r="AF1433" s="11"/>
      <c r="AG1433"/>
    </row>
    <row r="1434" spans="25:33" x14ac:dyDescent="0.2">
      <c r="Y1434" s="7"/>
      <c r="AA1434" s="8"/>
      <c r="AB1434" s="9"/>
      <c r="AE1434" s="10"/>
      <c r="AF1434" s="11"/>
      <c r="AG1434"/>
    </row>
    <row r="1435" spans="25:33" x14ac:dyDescent="0.2">
      <c r="Y1435" s="7"/>
      <c r="AA1435" s="8"/>
      <c r="AB1435" s="9"/>
      <c r="AE1435" s="10"/>
      <c r="AF1435" s="11"/>
      <c r="AG1435"/>
    </row>
    <row r="1436" spans="25:33" x14ac:dyDescent="0.2">
      <c r="Y1436" s="7"/>
      <c r="AA1436" s="8"/>
      <c r="AB1436" s="9"/>
      <c r="AE1436" s="10"/>
      <c r="AF1436" s="11"/>
      <c r="AG1436"/>
    </row>
    <row r="1437" spans="25:33" x14ac:dyDescent="0.2">
      <c r="Y1437" s="7"/>
      <c r="AA1437" s="8"/>
      <c r="AB1437" s="9"/>
      <c r="AE1437" s="10"/>
      <c r="AF1437" s="11"/>
      <c r="AG1437"/>
    </row>
    <row r="1438" spans="25:33" x14ac:dyDescent="0.2">
      <c r="Y1438" s="7"/>
      <c r="AA1438" s="8"/>
      <c r="AB1438" s="9"/>
      <c r="AE1438" s="10"/>
      <c r="AF1438" s="11"/>
      <c r="AG1438"/>
    </row>
    <row r="1439" spans="25:33" x14ac:dyDescent="0.2">
      <c r="Y1439" s="7"/>
      <c r="AA1439" s="8"/>
      <c r="AB1439" s="9"/>
      <c r="AE1439" s="10"/>
      <c r="AF1439" s="11"/>
      <c r="AG1439"/>
    </row>
    <row r="1440" spans="25:33" x14ac:dyDescent="0.2">
      <c r="Y1440" s="7"/>
      <c r="AA1440" s="8"/>
      <c r="AB1440" s="9"/>
      <c r="AE1440" s="10"/>
      <c r="AF1440" s="11"/>
      <c r="AG1440"/>
    </row>
    <row r="1441" spans="25:33" x14ac:dyDescent="0.2">
      <c r="Y1441" s="7"/>
      <c r="AA1441" s="8"/>
      <c r="AB1441" s="9"/>
      <c r="AE1441" s="10"/>
      <c r="AF1441" s="11"/>
      <c r="AG1441"/>
    </row>
    <row r="1442" spans="25:33" x14ac:dyDescent="0.2">
      <c r="Y1442" s="7"/>
      <c r="AA1442" s="8"/>
      <c r="AB1442" s="9"/>
      <c r="AE1442" s="10"/>
      <c r="AF1442" s="11"/>
      <c r="AG1442"/>
    </row>
    <row r="1443" spans="25:33" x14ac:dyDescent="0.2">
      <c r="Y1443" s="7"/>
      <c r="AA1443" s="8"/>
      <c r="AB1443" s="9"/>
      <c r="AE1443" s="10"/>
      <c r="AF1443" s="11"/>
      <c r="AG1443"/>
    </row>
    <row r="1444" spans="25:33" x14ac:dyDescent="0.2">
      <c r="Y1444" s="7"/>
      <c r="AA1444" s="8"/>
      <c r="AB1444" s="9"/>
      <c r="AE1444" s="10"/>
      <c r="AF1444" s="11"/>
      <c r="AG1444"/>
    </row>
    <row r="1445" spans="25:33" x14ac:dyDescent="0.2">
      <c r="Y1445" s="7"/>
      <c r="AA1445" s="8"/>
      <c r="AB1445" s="9"/>
      <c r="AE1445" s="10"/>
      <c r="AF1445" s="11"/>
      <c r="AG1445"/>
    </row>
    <row r="1446" spans="25:33" x14ac:dyDescent="0.2">
      <c r="Y1446" s="7"/>
      <c r="AA1446" s="8"/>
      <c r="AB1446" s="9"/>
      <c r="AE1446" s="10"/>
      <c r="AF1446" s="11"/>
      <c r="AG1446"/>
    </row>
    <row r="1447" spans="25:33" x14ac:dyDescent="0.2">
      <c r="Y1447" s="7"/>
      <c r="AA1447" s="8"/>
      <c r="AB1447" s="9"/>
      <c r="AE1447" s="10"/>
      <c r="AF1447" s="11"/>
      <c r="AG1447"/>
    </row>
    <row r="1448" spans="25:33" x14ac:dyDescent="0.2">
      <c r="Y1448" s="7"/>
      <c r="AA1448" s="8"/>
      <c r="AB1448" s="9"/>
      <c r="AE1448" s="10"/>
      <c r="AF1448" s="11"/>
      <c r="AG1448"/>
    </row>
    <row r="1449" spans="25:33" x14ac:dyDescent="0.2">
      <c r="Y1449" s="7"/>
      <c r="AA1449" s="8"/>
      <c r="AB1449" s="9"/>
      <c r="AE1449" s="10"/>
      <c r="AF1449" s="11"/>
      <c r="AG1449"/>
    </row>
    <row r="1450" spans="25:33" x14ac:dyDescent="0.2">
      <c r="Y1450" s="7"/>
      <c r="AA1450" s="8"/>
      <c r="AB1450" s="9"/>
      <c r="AE1450" s="10"/>
      <c r="AF1450" s="11"/>
      <c r="AG1450"/>
    </row>
    <row r="1451" spans="25:33" x14ac:dyDescent="0.2">
      <c r="Y1451" s="7"/>
      <c r="AA1451" s="8"/>
      <c r="AB1451" s="9"/>
      <c r="AE1451" s="10"/>
      <c r="AF1451" s="11"/>
      <c r="AG1451"/>
    </row>
    <row r="1452" spans="25:33" x14ac:dyDescent="0.2">
      <c r="Y1452" s="7"/>
      <c r="AA1452" s="8"/>
      <c r="AB1452" s="9"/>
      <c r="AE1452" s="10"/>
      <c r="AF1452" s="11"/>
      <c r="AG1452"/>
    </row>
    <row r="1453" spans="25:33" x14ac:dyDescent="0.2">
      <c r="Y1453" s="7"/>
      <c r="AA1453" s="8"/>
      <c r="AB1453" s="9"/>
      <c r="AE1453" s="10"/>
      <c r="AF1453" s="11"/>
      <c r="AG1453"/>
    </row>
    <row r="1454" spans="25:33" x14ac:dyDescent="0.2">
      <c r="Y1454" s="7"/>
      <c r="AA1454" s="8"/>
      <c r="AB1454" s="9"/>
      <c r="AE1454" s="10"/>
      <c r="AF1454" s="11"/>
      <c r="AG1454"/>
    </row>
    <row r="1455" spans="25:33" x14ac:dyDescent="0.2">
      <c r="Y1455" s="7"/>
      <c r="AA1455" s="8"/>
      <c r="AB1455" s="9"/>
      <c r="AE1455" s="10"/>
      <c r="AF1455" s="11"/>
      <c r="AG1455"/>
    </row>
    <row r="1456" spans="25:33" x14ac:dyDescent="0.2">
      <c r="Y1456" s="7"/>
      <c r="AA1456" s="8"/>
      <c r="AB1456" s="9"/>
      <c r="AE1456" s="10"/>
      <c r="AF1456" s="11"/>
      <c r="AG1456"/>
    </row>
    <row r="1457" spans="25:33" x14ac:dyDescent="0.2">
      <c r="Y1457" s="7"/>
      <c r="AA1457" s="8"/>
      <c r="AB1457" s="9"/>
      <c r="AE1457" s="10"/>
      <c r="AF1457" s="11"/>
      <c r="AG1457"/>
    </row>
    <row r="1458" spans="25:33" x14ac:dyDescent="0.2">
      <c r="Y1458" s="7"/>
      <c r="AA1458" s="8"/>
      <c r="AB1458" s="9"/>
      <c r="AE1458" s="10"/>
      <c r="AF1458" s="11"/>
      <c r="AG1458"/>
    </row>
    <row r="1459" spans="25:33" x14ac:dyDescent="0.2">
      <c r="Y1459" s="7"/>
      <c r="AA1459" s="8"/>
      <c r="AB1459" s="9"/>
      <c r="AE1459" s="10"/>
      <c r="AF1459" s="11"/>
      <c r="AG1459"/>
    </row>
    <row r="1460" spans="25:33" x14ac:dyDescent="0.2">
      <c r="Y1460" s="7"/>
      <c r="AA1460" s="8"/>
      <c r="AB1460" s="9"/>
      <c r="AE1460" s="10"/>
      <c r="AF1460" s="11"/>
      <c r="AG1460"/>
    </row>
    <row r="1461" spans="25:33" x14ac:dyDescent="0.2">
      <c r="Y1461" s="7"/>
      <c r="AA1461" s="8"/>
      <c r="AB1461" s="9"/>
      <c r="AE1461" s="10"/>
      <c r="AF1461" s="11"/>
      <c r="AG1461"/>
    </row>
    <row r="1462" spans="25:33" x14ac:dyDescent="0.2">
      <c r="Y1462" s="7"/>
      <c r="AA1462" s="8"/>
      <c r="AB1462" s="9"/>
      <c r="AE1462" s="10"/>
      <c r="AF1462" s="11"/>
      <c r="AG1462"/>
    </row>
    <row r="1463" spans="25:33" x14ac:dyDescent="0.2">
      <c r="Y1463" s="7"/>
      <c r="AA1463" s="8"/>
      <c r="AB1463" s="9"/>
      <c r="AE1463" s="10"/>
      <c r="AF1463" s="11"/>
      <c r="AG1463"/>
    </row>
    <row r="1464" spans="25:33" x14ac:dyDescent="0.2">
      <c r="Y1464" s="7"/>
      <c r="AA1464" s="8"/>
      <c r="AB1464" s="9"/>
      <c r="AE1464" s="10"/>
      <c r="AF1464" s="11"/>
      <c r="AG1464"/>
    </row>
    <row r="1465" spans="25:33" x14ac:dyDescent="0.2">
      <c r="Y1465" s="7"/>
      <c r="AA1465" s="8"/>
      <c r="AB1465" s="9"/>
      <c r="AE1465" s="10"/>
      <c r="AF1465" s="11"/>
      <c r="AG1465"/>
    </row>
    <row r="1466" spans="25:33" x14ac:dyDescent="0.2">
      <c r="Y1466" s="7"/>
      <c r="AA1466" s="8"/>
      <c r="AB1466" s="9"/>
      <c r="AE1466" s="10"/>
      <c r="AF1466" s="11"/>
      <c r="AG1466"/>
    </row>
    <row r="1467" spans="25:33" x14ac:dyDescent="0.2">
      <c r="Y1467" s="7"/>
      <c r="AA1467" s="8"/>
      <c r="AB1467" s="9"/>
      <c r="AE1467" s="10"/>
      <c r="AF1467" s="11"/>
      <c r="AG1467"/>
    </row>
    <row r="1468" spans="25:33" x14ac:dyDescent="0.2">
      <c r="Y1468" s="7"/>
      <c r="AA1468" s="8"/>
      <c r="AB1468" s="9"/>
      <c r="AE1468" s="10"/>
      <c r="AF1468" s="11"/>
      <c r="AG1468"/>
    </row>
    <row r="1469" spans="25:33" x14ac:dyDescent="0.2">
      <c r="Y1469" s="7"/>
      <c r="AA1469" s="8"/>
      <c r="AB1469" s="9"/>
      <c r="AE1469" s="10"/>
      <c r="AF1469" s="11"/>
      <c r="AG1469"/>
    </row>
    <row r="1470" spans="25:33" x14ac:dyDescent="0.2">
      <c r="Y1470" s="7"/>
      <c r="AA1470" s="8"/>
      <c r="AB1470" s="9"/>
      <c r="AE1470" s="10"/>
      <c r="AF1470" s="11"/>
      <c r="AG1470"/>
    </row>
    <row r="1471" spans="25:33" x14ac:dyDescent="0.2">
      <c r="Y1471" s="7"/>
      <c r="AA1471" s="8"/>
      <c r="AB1471" s="9"/>
      <c r="AE1471" s="10"/>
      <c r="AF1471" s="11"/>
      <c r="AG1471"/>
    </row>
    <row r="1472" spans="25:33" x14ac:dyDescent="0.2">
      <c r="Y1472" s="7"/>
      <c r="AA1472" s="8"/>
      <c r="AB1472" s="9"/>
      <c r="AE1472" s="10"/>
      <c r="AF1472" s="11"/>
      <c r="AG1472"/>
    </row>
    <row r="1473" spans="25:33" x14ac:dyDescent="0.2">
      <c r="Y1473" s="7"/>
      <c r="AA1473" s="8"/>
      <c r="AB1473" s="9"/>
      <c r="AE1473" s="10"/>
      <c r="AF1473" s="11"/>
      <c r="AG1473"/>
    </row>
    <row r="1474" spans="25:33" x14ac:dyDescent="0.2">
      <c r="Y1474" s="7"/>
      <c r="AA1474" s="8"/>
      <c r="AB1474" s="9"/>
      <c r="AE1474" s="10"/>
      <c r="AF1474" s="11"/>
      <c r="AG1474"/>
    </row>
    <row r="1475" spans="25:33" x14ac:dyDescent="0.2">
      <c r="Y1475" s="7"/>
      <c r="AA1475" s="8"/>
      <c r="AB1475" s="9"/>
      <c r="AE1475" s="10"/>
      <c r="AF1475" s="11"/>
      <c r="AG1475"/>
    </row>
    <row r="1476" spans="25:33" x14ac:dyDescent="0.2">
      <c r="Y1476" s="7"/>
      <c r="AA1476" s="8"/>
      <c r="AB1476" s="9"/>
      <c r="AE1476" s="10"/>
      <c r="AF1476" s="11"/>
      <c r="AG1476"/>
    </row>
    <row r="1477" spans="25:33" x14ac:dyDescent="0.2">
      <c r="Y1477" s="7"/>
      <c r="AA1477" s="8"/>
      <c r="AB1477" s="9"/>
      <c r="AE1477" s="10"/>
      <c r="AF1477" s="11"/>
      <c r="AG1477"/>
    </row>
    <row r="1478" spans="25:33" x14ac:dyDescent="0.2">
      <c r="Y1478" s="7"/>
      <c r="AA1478" s="8"/>
      <c r="AB1478" s="9"/>
      <c r="AE1478" s="10"/>
      <c r="AF1478" s="11"/>
      <c r="AG1478"/>
    </row>
    <row r="1479" spans="25:33" x14ac:dyDescent="0.2">
      <c r="Y1479" s="7"/>
      <c r="AA1479" s="8"/>
      <c r="AB1479" s="9"/>
      <c r="AE1479" s="10"/>
      <c r="AF1479" s="11"/>
      <c r="AG1479"/>
    </row>
    <row r="1480" spans="25:33" x14ac:dyDescent="0.2">
      <c r="Y1480" s="7"/>
      <c r="AA1480" s="8"/>
      <c r="AB1480" s="9"/>
      <c r="AE1480" s="10"/>
      <c r="AF1480" s="11"/>
      <c r="AG1480"/>
    </row>
    <row r="1481" spans="25:33" x14ac:dyDescent="0.2">
      <c r="Y1481" s="7"/>
      <c r="AA1481" s="8"/>
      <c r="AB1481" s="9"/>
      <c r="AE1481" s="10"/>
      <c r="AF1481" s="11"/>
      <c r="AG1481"/>
    </row>
    <row r="1482" spans="25:33" x14ac:dyDescent="0.2">
      <c r="Y1482" s="7"/>
      <c r="AA1482" s="8"/>
      <c r="AB1482" s="9"/>
      <c r="AE1482" s="10"/>
      <c r="AF1482" s="11"/>
      <c r="AG1482"/>
    </row>
    <row r="1483" spans="25:33" x14ac:dyDescent="0.2">
      <c r="Y1483" s="7"/>
      <c r="AA1483" s="8"/>
      <c r="AB1483" s="9"/>
      <c r="AE1483" s="10"/>
      <c r="AF1483" s="11"/>
      <c r="AG1483"/>
    </row>
    <row r="1484" spans="25:33" x14ac:dyDescent="0.2">
      <c r="Y1484" s="7"/>
      <c r="AA1484" s="8"/>
      <c r="AB1484" s="9"/>
      <c r="AE1484" s="10"/>
      <c r="AF1484" s="11"/>
      <c r="AG1484"/>
    </row>
    <row r="1485" spans="25:33" x14ac:dyDescent="0.2">
      <c r="Y1485" s="7"/>
      <c r="AA1485" s="8"/>
      <c r="AB1485" s="9"/>
      <c r="AE1485" s="10"/>
      <c r="AF1485" s="11"/>
      <c r="AG1485"/>
    </row>
    <row r="1486" spans="25:33" x14ac:dyDescent="0.2">
      <c r="Y1486" s="7"/>
      <c r="AA1486" s="8"/>
      <c r="AB1486" s="9"/>
      <c r="AE1486" s="10"/>
      <c r="AF1486" s="11"/>
      <c r="AG1486"/>
    </row>
    <row r="1487" spans="25:33" x14ac:dyDescent="0.2">
      <c r="Y1487" s="7"/>
      <c r="AA1487" s="8"/>
      <c r="AB1487" s="9"/>
      <c r="AE1487" s="10"/>
      <c r="AF1487" s="11"/>
      <c r="AG1487"/>
    </row>
    <row r="1488" spans="25:33" x14ac:dyDescent="0.2">
      <c r="Y1488" s="7"/>
      <c r="AA1488" s="8"/>
      <c r="AB1488" s="9"/>
      <c r="AE1488" s="10"/>
      <c r="AF1488" s="11"/>
      <c r="AG1488"/>
    </row>
    <row r="1489" spans="25:33" x14ac:dyDescent="0.2">
      <c r="Y1489" s="7"/>
      <c r="AA1489" s="8"/>
      <c r="AB1489" s="9"/>
      <c r="AE1489" s="10"/>
      <c r="AF1489" s="11"/>
      <c r="AG1489"/>
    </row>
    <row r="1490" spans="25:33" x14ac:dyDescent="0.2">
      <c r="Y1490" s="7"/>
      <c r="AA1490" s="8"/>
      <c r="AB1490" s="9"/>
      <c r="AE1490" s="10"/>
      <c r="AF1490" s="11"/>
      <c r="AG1490"/>
    </row>
    <row r="1491" spans="25:33" x14ac:dyDescent="0.2">
      <c r="Y1491" s="7"/>
      <c r="AA1491" s="8"/>
      <c r="AB1491" s="9"/>
      <c r="AE1491" s="10"/>
      <c r="AF1491" s="11"/>
      <c r="AG1491"/>
    </row>
    <row r="1492" spans="25:33" x14ac:dyDescent="0.2">
      <c r="Y1492" s="7"/>
      <c r="AA1492" s="8"/>
      <c r="AB1492" s="9"/>
      <c r="AE1492" s="10"/>
      <c r="AF1492" s="11"/>
      <c r="AG1492"/>
    </row>
    <row r="1493" spans="25:33" x14ac:dyDescent="0.2">
      <c r="Y1493" s="7"/>
      <c r="AA1493" s="8"/>
      <c r="AB1493" s="9"/>
      <c r="AE1493" s="10"/>
      <c r="AF1493" s="11"/>
      <c r="AG1493"/>
    </row>
    <row r="1494" spans="25:33" x14ac:dyDescent="0.2">
      <c r="Y1494" s="7"/>
      <c r="AA1494" s="8"/>
      <c r="AB1494" s="9"/>
      <c r="AE1494" s="10"/>
      <c r="AF1494" s="11"/>
      <c r="AG1494"/>
    </row>
  </sheetData>
  <pageMargins left="0.25" right="0.25" top="0.75" bottom="0.75" header="0.3" footer="0.3"/>
  <pageSetup paperSize="5" scale="6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A2DB-C626-42D8-926A-FAF94D3A3321}">
  <sheetPr>
    <pageSetUpPr fitToPage="1"/>
  </sheetPr>
  <dimension ref="A1:F292"/>
  <sheetViews>
    <sheetView tabSelected="1" zoomScaleNormal="100" workbookViewId="0">
      <selection activeCell="A11" sqref="A11"/>
    </sheetView>
  </sheetViews>
  <sheetFormatPr defaultColWidth="9" defaultRowHeight="12.75" x14ac:dyDescent="0.2"/>
  <cols>
    <col min="1" max="1" width="89.83203125" customWidth="1"/>
    <col min="2" max="2" width="15.83203125" style="12" bestFit="1" customWidth="1"/>
    <col min="3" max="3" width="36.33203125" style="12" bestFit="1" customWidth="1"/>
    <col min="4" max="4" width="19.1640625" style="12" bestFit="1" customWidth="1"/>
    <col min="5" max="5" width="12.33203125" style="12" customWidth="1"/>
    <col min="6" max="6" width="12.1640625" customWidth="1"/>
  </cols>
  <sheetData>
    <row r="1" spans="1:6" x14ac:dyDescent="0.2">
      <c r="A1" s="42" t="s">
        <v>492</v>
      </c>
      <c r="B1" s="43" t="s">
        <v>493</v>
      </c>
      <c r="C1" s="43" t="s">
        <v>494</v>
      </c>
      <c r="D1" s="43" t="s">
        <v>495</v>
      </c>
      <c r="E1" s="43" t="s">
        <v>482</v>
      </c>
      <c r="F1" s="44" t="s">
        <v>496</v>
      </c>
    </row>
    <row r="2" spans="1:6" x14ac:dyDescent="0.2">
      <c r="A2" s="45" t="s">
        <v>311</v>
      </c>
      <c r="B2" s="19">
        <v>847042</v>
      </c>
      <c r="C2" s="46" t="s">
        <v>497</v>
      </c>
      <c r="D2" s="19" t="s">
        <v>498</v>
      </c>
      <c r="E2" s="19" t="s">
        <v>499</v>
      </c>
      <c r="F2" s="47">
        <v>80111</v>
      </c>
    </row>
    <row r="3" spans="1:6" x14ac:dyDescent="0.2">
      <c r="A3" s="48" t="s">
        <v>20</v>
      </c>
      <c r="B3" s="19">
        <v>631585</v>
      </c>
      <c r="C3" s="19" t="s">
        <v>500</v>
      </c>
      <c r="D3" s="19" t="s">
        <v>501</v>
      </c>
      <c r="E3" s="19" t="s">
        <v>502</v>
      </c>
      <c r="F3" s="47">
        <v>58501</v>
      </c>
    </row>
    <row r="4" spans="1:6" x14ac:dyDescent="0.2">
      <c r="A4" s="49" t="s">
        <v>429</v>
      </c>
      <c r="B4" s="19">
        <v>830280</v>
      </c>
      <c r="C4" s="19" t="s">
        <v>503</v>
      </c>
      <c r="D4" s="19" t="s">
        <v>504</v>
      </c>
      <c r="E4" s="19" t="s">
        <v>505</v>
      </c>
      <c r="F4" s="47">
        <v>75201</v>
      </c>
    </row>
    <row r="5" spans="1:6" x14ac:dyDescent="0.2">
      <c r="A5" s="48" t="s">
        <v>23</v>
      </c>
      <c r="B5" s="19">
        <v>803762</v>
      </c>
      <c r="C5" s="19" t="s">
        <v>506</v>
      </c>
      <c r="D5" s="19" t="s">
        <v>504</v>
      </c>
      <c r="E5" s="19" t="s">
        <v>505</v>
      </c>
      <c r="F5" s="47">
        <v>75201</v>
      </c>
    </row>
    <row r="6" spans="1:6" x14ac:dyDescent="0.2">
      <c r="A6" s="50" t="s">
        <v>161</v>
      </c>
      <c r="B6" s="51">
        <v>864201</v>
      </c>
      <c r="C6" s="19" t="s">
        <v>507</v>
      </c>
      <c r="D6" s="19" t="s">
        <v>508</v>
      </c>
      <c r="E6" s="19" t="s">
        <v>502</v>
      </c>
      <c r="F6" s="47">
        <v>58843</v>
      </c>
    </row>
    <row r="7" spans="1:6" x14ac:dyDescent="0.2">
      <c r="A7" s="45" t="s">
        <v>299</v>
      </c>
      <c r="B7" s="19">
        <v>914891</v>
      </c>
      <c r="C7" s="46" t="s">
        <v>509</v>
      </c>
      <c r="D7" s="19" t="s">
        <v>510</v>
      </c>
      <c r="E7" s="19" t="s">
        <v>499</v>
      </c>
      <c r="F7" s="47">
        <v>80915</v>
      </c>
    </row>
    <row r="8" spans="1:6" x14ac:dyDescent="0.2">
      <c r="A8" s="48" t="s">
        <v>25</v>
      </c>
      <c r="B8" s="19">
        <v>688061</v>
      </c>
      <c r="C8" s="19" t="s">
        <v>511</v>
      </c>
      <c r="D8" s="19" t="s">
        <v>501</v>
      </c>
      <c r="E8" s="19" t="s">
        <v>502</v>
      </c>
      <c r="F8" s="47" t="s">
        <v>512</v>
      </c>
    </row>
    <row r="9" spans="1:6" x14ac:dyDescent="0.2">
      <c r="A9" s="50" t="s">
        <v>29</v>
      </c>
      <c r="B9" s="19">
        <v>742480</v>
      </c>
      <c r="C9" s="19" t="s">
        <v>513</v>
      </c>
      <c r="D9" s="19" t="s">
        <v>514</v>
      </c>
      <c r="E9" s="19" t="s">
        <v>499</v>
      </c>
      <c r="F9" s="47">
        <v>80123</v>
      </c>
    </row>
    <row r="10" spans="1:6" x14ac:dyDescent="0.2">
      <c r="A10" s="50" t="s">
        <v>36</v>
      </c>
      <c r="B10" s="19">
        <v>894877</v>
      </c>
      <c r="C10" s="19" t="s">
        <v>515</v>
      </c>
      <c r="D10" s="19" t="s">
        <v>516</v>
      </c>
      <c r="E10" s="19" t="s">
        <v>517</v>
      </c>
      <c r="F10" s="47">
        <v>69145</v>
      </c>
    </row>
    <row r="11" spans="1:6" x14ac:dyDescent="0.2">
      <c r="A11" s="45" t="s">
        <v>430</v>
      </c>
      <c r="B11" s="19">
        <v>81514</v>
      </c>
      <c r="C11" s="19" t="s">
        <v>518</v>
      </c>
      <c r="D11" s="19" t="s">
        <v>519</v>
      </c>
      <c r="E11" s="19" t="s">
        <v>502</v>
      </c>
      <c r="F11" s="47">
        <v>58801</v>
      </c>
    </row>
    <row r="12" spans="1:6" x14ac:dyDescent="0.2">
      <c r="A12" s="52" t="s">
        <v>37</v>
      </c>
      <c r="B12" s="19">
        <v>633424</v>
      </c>
      <c r="C12" s="19" t="s">
        <v>520</v>
      </c>
      <c r="D12" s="19" t="s">
        <v>521</v>
      </c>
      <c r="E12" s="19" t="s">
        <v>502</v>
      </c>
      <c r="F12" s="47" t="s">
        <v>522</v>
      </c>
    </row>
    <row r="13" spans="1:6" x14ac:dyDescent="0.2">
      <c r="A13" s="50" t="s">
        <v>523</v>
      </c>
      <c r="B13" s="19">
        <v>922492</v>
      </c>
      <c r="C13" s="19" t="s">
        <v>524</v>
      </c>
      <c r="D13" s="19" t="s">
        <v>525</v>
      </c>
      <c r="E13" s="19" t="s">
        <v>502</v>
      </c>
      <c r="F13" s="47">
        <v>58703</v>
      </c>
    </row>
    <row r="14" spans="1:6" x14ac:dyDescent="0.2">
      <c r="A14" s="50" t="s">
        <v>526</v>
      </c>
      <c r="B14" s="19">
        <v>922492</v>
      </c>
      <c r="C14" s="19" t="s">
        <v>524</v>
      </c>
      <c r="D14" s="19" t="s">
        <v>525</v>
      </c>
      <c r="E14" s="19" t="s">
        <v>502</v>
      </c>
      <c r="F14" s="47">
        <v>58703</v>
      </c>
    </row>
    <row r="15" spans="1:6" x14ac:dyDescent="0.2">
      <c r="A15" s="48" t="s">
        <v>38</v>
      </c>
      <c r="B15" s="19">
        <v>709379</v>
      </c>
      <c r="C15" s="19" t="s">
        <v>527</v>
      </c>
      <c r="D15" s="19" t="s">
        <v>521</v>
      </c>
      <c r="E15" s="19" t="s">
        <v>502</v>
      </c>
      <c r="F15" s="47">
        <v>58103</v>
      </c>
    </row>
    <row r="16" spans="1:6" x14ac:dyDescent="0.2">
      <c r="A16" s="45" t="s">
        <v>528</v>
      </c>
      <c r="B16" s="19">
        <v>922492</v>
      </c>
      <c r="C16" s="46" t="s">
        <v>529</v>
      </c>
      <c r="D16" s="19" t="s">
        <v>530</v>
      </c>
      <c r="E16" s="19" t="s">
        <v>502</v>
      </c>
      <c r="F16" s="47">
        <v>58341</v>
      </c>
    </row>
    <row r="17" spans="1:6" x14ac:dyDescent="0.2">
      <c r="A17" s="50" t="s">
        <v>167</v>
      </c>
      <c r="B17" s="19">
        <v>699797</v>
      </c>
      <c r="C17" s="19" t="s">
        <v>531</v>
      </c>
      <c r="D17" s="19" t="s">
        <v>532</v>
      </c>
      <c r="E17" s="19" t="s">
        <v>517</v>
      </c>
      <c r="F17" s="47">
        <v>68428</v>
      </c>
    </row>
    <row r="18" spans="1:6" x14ac:dyDescent="0.2">
      <c r="A18" s="48" t="s">
        <v>39</v>
      </c>
      <c r="B18" s="19">
        <v>783449</v>
      </c>
      <c r="C18" s="19" t="s">
        <v>533</v>
      </c>
      <c r="D18" s="19" t="s">
        <v>534</v>
      </c>
      <c r="E18" s="19" t="s">
        <v>502</v>
      </c>
      <c r="F18" s="47">
        <v>58504</v>
      </c>
    </row>
    <row r="19" spans="1:6" x14ac:dyDescent="0.2">
      <c r="A19" s="49" t="s">
        <v>431</v>
      </c>
      <c r="B19" s="19">
        <v>780868</v>
      </c>
      <c r="C19" s="19" t="s">
        <v>535</v>
      </c>
      <c r="D19" s="19" t="s">
        <v>536</v>
      </c>
      <c r="E19" s="19" t="s">
        <v>537</v>
      </c>
      <c r="F19" s="47">
        <v>37363</v>
      </c>
    </row>
    <row r="20" spans="1:6" x14ac:dyDescent="0.2">
      <c r="A20" s="45" t="s">
        <v>393</v>
      </c>
      <c r="B20" s="19">
        <v>595586</v>
      </c>
      <c r="C20" s="46" t="s">
        <v>538</v>
      </c>
      <c r="D20" s="46" t="s">
        <v>539</v>
      </c>
      <c r="E20" s="19" t="s">
        <v>505</v>
      </c>
      <c r="F20" s="47" t="s">
        <v>540</v>
      </c>
    </row>
    <row r="21" spans="1:6" x14ac:dyDescent="0.2">
      <c r="A21" s="45" t="s">
        <v>237</v>
      </c>
      <c r="B21" s="19">
        <v>925916</v>
      </c>
      <c r="C21" s="46" t="s">
        <v>541</v>
      </c>
      <c r="D21" s="19" t="s">
        <v>519</v>
      </c>
      <c r="E21" s="19" t="s">
        <v>502</v>
      </c>
      <c r="F21" s="47">
        <v>58802</v>
      </c>
    </row>
    <row r="22" spans="1:6" x14ac:dyDescent="0.2">
      <c r="A22" s="45" t="s">
        <v>370</v>
      </c>
      <c r="B22" s="19">
        <v>737511</v>
      </c>
      <c r="C22" s="46" t="s">
        <v>542</v>
      </c>
      <c r="D22" s="19" t="s">
        <v>543</v>
      </c>
      <c r="E22" s="19" t="s">
        <v>505</v>
      </c>
      <c r="F22" s="47">
        <v>79702</v>
      </c>
    </row>
    <row r="23" spans="1:6" ht="15.75" x14ac:dyDescent="0.2">
      <c r="A23" s="45" t="s">
        <v>169</v>
      </c>
      <c r="B23" s="19">
        <v>894905</v>
      </c>
      <c r="C23" s="19" t="s">
        <v>544</v>
      </c>
      <c r="D23" s="19" t="s">
        <v>545</v>
      </c>
      <c r="E23" s="19" t="s">
        <v>546</v>
      </c>
      <c r="F23" s="47">
        <v>56093</v>
      </c>
    </row>
    <row r="24" spans="1:6" x14ac:dyDescent="0.2">
      <c r="A24" s="45" t="s">
        <v>432</v>
      </c>
      <c r="B24" s="19">
        <v>632296</v>
      </c>
      <c r="C24" s="19" t="s">
        <v>547</v>
      </c>
      <c r="D24" s="19" t="s">
        <v>548</v>
      </c>
      <c r="E24" s="19" t="s">
        <v>549</v>
      </c>
      <c r="F24" s="47">
        <v>91103</v>
      </c>
    </row>
    <row r="25" spans="1:6" x14ac:dyDescent="0.2">
      <c r="A25" s="50" t="s">
        <v>42</v>
      </c>
      <c r="B25" s="19">
        <v>858090</v>
      </c>
      <c r="C25" s="19" t="s">
        <v>550</v>
      </c>
      <c r="D25" s="19" t="s">
        <v>551</v>
      </c>
      <c r="E25" s="19" t="s">
        <v>499</v>
      </c>
      <c r="F25" s="47" t="s">
        <v>552</v>
      </c>
    </row>
    <row r="26" spans="1:6" x14ac:dyDescent="0.2">
      <c r="A26" s="49" t="s">
        <v>269</v>
      </c>
      <c r="B26" s="19">
        <v>858090</v>
      </c>
      <c r="C26" s="19" t="s">
        <v>553</v>
      </c>
      <c r="D26" s="19" t="s">
        <v>551</v>
      </c>
      <c r="E26" s="19" t="s">
        <v>499</v>
      </c>
      <c r="F26" s="47" t="s">
        <v>552</v>
      </c>
    </row>
    <row r="27" spans="1:6" x14ac:dyDescent="0.2">
      <c r="A27" s="48" t="s">
        <v>45</v>
      </c>
      <c r="B27" s="19">
        <v>755628</v>
      </c>
      <c r="C27" s="19" t="s">
        <v>554</v>
      </c>
      <c r="D27" s="19" t="s">
        <v>519</v>
      </c>
      <c r="E27" s="19" t="s">
        <v>502</v>
      </c>
      <c r="F27" s="47">
        <v>58802</v>
      </c>
    </row>
    <row r="28" spans="1:6" x14ac:dyDescent="0.2">
      <c r="A28" s="45" t="s">
        <v>372</v>
      </c>
      <c r="B28" s="19">
        <v>737511</v>
      </c>
      <c r="C28" s="46" t="s">
        <v>555</v>
      </c>
      <c r="D28" s="19" t="s">
        <v>543</v>
      </c>
      <c r="E28" s="19" t="s">
        <v>505</v>
      </c>
      <c r="F28" s="47">
        <v>79702</v>
      </c>
    </row>
    <row r="29" spans="1:6" x14ac:dyDescent="0.2">
      <c r="A29" s="49" t="s">
        <v>433</v>
      </c>
      <c r="B29" s="19">
        <v>830280</v>
      </c>
      <c r="C29" s="19" t="s">
        <v>556</v>
      </c>
      <c r="D29" s="19" t="s">
        <v>519</v>
      </c>
      <c r="E29" s="19" t="s">
        <v>502</v>
      </c>
      <c r="F29" s="47">
        <v>58801</v>
      </c>
    </row>
    <row r="30" spans="1:6" x14ac:dyDescent="0.2">
      <c r="A30" s="48" t="s">
        <v>47</v>
      </c>
      <c r="B30" s="19">
        <v>892475</v>
      </c>
      <c r="C30" s="19" t="s">
        <v>557</v>
      </c>
      <c r="D30" s="19" t="s">
        <v>519</v>
      </c>
      <c r="E30" s="19" t="s">
        <v>502</v>
      </c>
      <c r="F30" s="47">
        <v>58801</v>
      </c>
    </row>
    <row r="31" spans="1:6" x14ac:dyDescent="0.2">
      <c r="A31" s="45" t="s">
        <v>558</v>
      </c>
      <c r="B31" s="19">
        <v>731824</v>
      </c>
      <c r="C31" s="19" t="s">
        <v>559</v>
      </c>
      <c r="D31" s="19" t="s">
        <v>560</v>
      </c>
      <c r="E31" s="19" t="s">
        <v>502</v>
      </c>
      <c r="F31" s="47">
        <v>58849</v>
      </c>
    </row>
    <row r="32" spans="1:6" x14ac:dyDescent="0.2">
      <c r="A32" s="45" t="s">
        <v>561</v>
      </c>
      <c r="B32" s="19">
        <v>731824</v>
      </c>
      <c r="C32" s="19" t="s">
        <v>559</v>
      </c>
      <c r="D32" s="19" t="s">
        <v>560</v>
      </c>
      <c r="E32" s="19" t="s">
        <v>502</v>
      </c>
      <c r="F32" s="47">
        <v>58849</v>
      </c>
    </row>
    <row r="33" spans="1:6" x14ac:dyDescent="0.2">
      <c r="A33" s="45" t="s">
        <v>272</v>
      </c>
      <c r="B33" s="19">
        <v>849622</v>
      </c>
      <c r="C33" s="46" t="s">
        <v>562</v>
      </c>
      <c r="D33" s="46" t="s">
        <v>563</v>
      </c>
      <c r="E33" s="19" t="s">
        <v>505</v>
      </c>
      <c r="F33" s="47">
        <v>77478</v>
      </c>
    </row>
    <row r="34" spans="1:6" x14ac:dyDescent="0.2">
      <c r="A34" s="49" t="s">
        <v>436</v>
      </c>
      <c r="B34" s="19">
        <v>639697</v>
      </c>
      <c r="C34" s="19" t="s">
        <v>564</v>
      </c>
      <c r="D34" s="19" t="s">
        <v>565</v>
      </c>
      <c r="E34" s="19" t="s">
        <v>566</v>
      </c>
      <c r="F34" s="47">
        <v>59101</v>
      </c>
    </row>
    <row r="35" spans="1:6" x14ac:dyDescent="0.2">
      <c r="A35" s="49" t="s">
        <v>389</v>
      </c>
      <c r="B35" s="19">
        <v>896846</v>
      </c>
      <c r="C35" s="19" t="s">
        <v>567</v>
      </c>
      <c r="D35" s="19" t="s">
        <v>568</v>
      </c>
      <c r="E35" s="19" t="s">
        <v>499</v>
      </c>
      <c r="F35" s="47">
        <v>80202</v>
      </c>
    </row>
    <row r="36" spans="1:6" x14ac:dyDescent="0.2">
      <c r="A36" s="45" t="s">
        <v>434</v>
      </c>
      <c r="B36" s="19">
        <v>830560</v>
      </c>
      <c r="C36" s="19" t="s">
        <v>569</v>
      </c>
      <c r="D36" s="19" t="s">
        <v>570</v>
      </c>
      <c r="E36" s="19" t="s">
        <v>571</v>
      </c>
      <c r="F36" s="47">
        <v>98125</v>
      </c>
    </row>
    <row r="37" spans="1:6" x14ac:dyDescent="0.2">
      <c r="A37" s="49" t="s">
        <v>373</v>
      </c>
      <c r="B37" s="19">
        <v>886526</v>
      </c>
      <c r="C37" s="19" t="s">
        <v>572</v>
      </c>
      <c r="D37" s="19" t="s">
        <v>519</v>
      </c>
      <c r="E37" s="19" t="s">
        <v>502</v>
      </c>
      <c r="F37" s="47">
        <v>58802</v>
      </c>
    </row>
    <row r="38" spans="1:6" x14ac:dyDescent="0.2">
      <c r="A38" s="45" t="s">
        <v>394</v>
      </c>
      <c r="B38" s="19">
        <v>723248</v>
      </c>
      <c r="C38" s="46" t="s">
        <v>573</v>
      </c>
      <c r="D38" s="46" t="s">
        <v>539</v>
      </c>
      <c r="E38" s="19" t="s">
        <v>574</v>
      </c>
      <c r="F38" s="47">
        <v>77006</v>
      </c>
    </row>
    <row r="39" spans="1:6" x14ac:dyDescent="0.2">
      <c r="A39" s="49" t="s">
        <v>437</v>
      </c>
      <c r="B39" s="19">
        <v>793745</v>
      </c>
      <c r="C39" s="19" t="s">
        <v>518</v>
      </c>
      <c r="D39" s="19" t="s">
        <v>519</v>
      </c>
      <c r="E39" s="19" t="s">
        <v>502</v>
      </c>
      <c r="F39" s="47">
        <v>58801</v>
      </c>
    </row>
    <row r="40" spans="1:6" x14ac:dyDescent="0.2">
      <c r="A40" s="45" t="s">
        <v>575</v>
      </c>
      <c r="B40" s="19">
        <v>876513</v>
      </c>
      <c r="C40" s="19" t="s">
        <v>576</v>
      </c>
      <c r="D40" s="19" t="s">
        <v>577</v>
      </c>
      <c r="E40" s="19" t="s">
        <v>578</v>
      </c>
      <c r="F40" s="47">
        <v>83607</v>
      </c>
    </row>
    <row r="41" spans="1:6" x14ac:dyDescent="0.2">
      <c r="A41" s="45" t="s">
        <v>579</v>
      </c>
      <c r="B41" s="19">
        <v>876513</v>
      </c>
      <c r="C41" s="19" t="s">
        <v>576</v>
      </c>
      <c r="D41" s="19" t="s">
        <v>577</v>
      </c>
      <c r="E41" s="19" t="s">
        <v>578</v>
      </c>
      <c r="F41" s="47">
        <v>83607</v>
      </c>
    </row>
    <row r="42" spans="1:6" x14ac:dyDescent="0.2">
      <c r="A42" s="45" t="s">
        <v>580</v>
      </c>
      <c r="B42" s="19">
        <v>876513</v>
      </c>
      <c r="C42" s="19" t="s">
        <v>576</v>
      </c>
      <c r="D42" s="19" t="s">
        <v>577</v>
      </c>
      <c r="E42" s="19" t="s">
        <v>578</v>
      </c>
      <c r="F42" s="47">
        <v>83607</v>
      </c>
    </row>
    <row r="43" spans="1:6" x14ac:dyDescent="0.2">
      <c r="A43" s="45" t="s">
        <v>581</v>
      </c>
      <c r="B43" s="19">
        <v>876513</v>
      </c>
      <c r="C43" s="19" t="s">
        <v>576</v>
      </c>
      <c r="D43" s="19" t="s">
        <v>577</v>
      </c>
      <c r="E43" s="19" t="s">
        <v>578</v>
      </c>
      <c r="F43" s="47">
        <v>83607</v>
      </c>
    </row>
    <row r="44" spans="1:6" x14ac:dyDescent="0.2">
      <c r="A44" s="45" t="s">
        <v>582</v>
      </c>
      <c r="B44" s="19">
        <v>876513</v>
      </c>
      <c r="C44" s="19" t="s">
        <v>576</v>
      </c>
      <c r="D44" s="19" t="s">
        <v>577</v>
      </c>
      <c r="E44" s="19" t="s">
        <v>578</v>
      </c>
      <c r="F44" s="47">
        <v>83607</v>
      </c>
    </row>
    <row r="45" spans="1:6" x14ac:dyDescent="0.2">
      <c r="A45" s="49" t="s">
        <v>435</v>
      </c>
      <c r="B45" s="19">
        <v>830280</v>
      </c>
      <c r="C45" s="19" t="s">
        <v>583</v>
      </c>
      <c r="D45" s="19" t="s">
        <v>519</v>
      </c>
      <c r="E45" s="19" t="s">
        <v>502</v>
      </c>
      <c r="F45" s="47">
        <v>58801</v>
      </c>
    </row>
    <row r="46" spans="1:6" x14ac:dyDescent="0.2">
      <c r="A46" s="45" t="s">
        <v>239</v>
      </c>
      <c r="B46" s="19">
        <v>925916</v>
      </c>
      <c r="C46" s="46" t="s">
        <v>584</v>
      </c>
      <c r="D46" s="19" t="s">
        <v>504</v>
      </c>
      <c r="E46" s="19" t="s">
        <v>505</v>
      </c>
      <c r="F46" s="47">
        <v>75251</v>
      </c>
    </row>
    <row r="47" spans="1:6" x14ac:dyDescent="0.2">
      <c r="A47" s="45" t="s">
        <v>395</v>
      </c>
      <c r="B47" s="19">
        <v>723247</v>
      </c>
      <c r="C47" s="46" t="s">
        <v>585</v>
      </c>
      <c r="D47" s="19" t="s">
        <v>586</v>
      </c>
      <c r="E47" s="19" t="s">
        <v>587</v>
      </c>
      <c r="F47" s="47" t="s">
        <v>588</v>
      </c>
    </row>
    <row r="48" spans="1:6" x14ac:dyDescent="0.2">
      <c r="A48" s="48" t="s">
        <v>51</v>
      </c>
      <c r="B48" s="19">
        <v>846197</v>
      </c>
      <c r="C48" s="19" t="s">
        <v>589</v>
      </c>
      <c r="D48" s="19" t="s">
        <v>590</v>
      </c>
      <c r="E48" s="19" t="s">
        <v>591</v>
      </c>
      <c r="F48" s="47">
        <v>97487</v>
      </c>
    </row>
    <row r="49" spans="1:6" x14ac:dyDescent="0.2">
      <c r="A49" s="49" t="s">
        <v>391</v>
      </c>
      <c r="B49" s="19">
        <v>767485</v>
      </c>
      <c r="C49" s="19" t="s">
        <v>592</v>
      </c>
      <c r="D49" s="19" t="s">
        <v>593</v>
      </c>
      <c r="E49" s="19" t="s">
        <v>587</v>
      </c>
      <c r="F49" s="47">
        <v>731126</v>
      </c>
    </row>
    <row r="50" spans="1:6" x14ac:dyDescent="0.2">
      <c r="A50" s="45" t="s">
        <v>324</v>
      </c>
      <c r="B50" s="19">
        <v>911645</v>
      </c>
      <c r="C50" s="46" t="s">
        <v>594</v>
      </c>
      <c r="D50" s="46" t="s">
        <v>565</v>
      </c>
      <c r="E50" s="19" t="s">
        <v>595</v>
      </c>
      <c r="F50" s="47">
        <v>59103</v>
      </c>
    </row>
    <row r="51" spans="1:6" x14ac:dyDescent="0.2">
      <c r="A51" s="45" t="s">
        <v>313</v>
      </c>
      <c r="B51" s="19">
        <v>925972</v>
      </c>
      <c r="C51" s="46" t="s">
        <v>596</v>
      </c>
      <c r="D51" s="19" t="s">
        <v>597</v>
      </c>
      <c r="E51" s="19" t="s">
        <v>502</v>
      </c>
      <c r="F51" s="47" t="s">
        <v>598</v>
      </c>
    </row>
    <row r="52" spans="1:6" x14ac:dyDescent="0.2">
      <c r="A52" s="48" t="s">
        <v>53</v>
      </c>
      <c r="B52" s="19">
        <v>755628</v>
      </c>
      <c r="C52" s="19" t="s">
        <v>599</v>
      </c>
      <c r="D52" s="19" t="s">
        <v>519</v>
      </c>
      <c r="E52" s="19" t="s">
        <v>502</v>
      </c>
      <c r="F52" s="47">
        <v>58801</v>
      </c>
    </row>
    <row r="53" spans="1:6" x14ac:dyDescent="0.2">
      <c r="A53" s="50" t="s">
        <v>172</v>
      </c>
      <c r="B53" s="19">
        <v>674676</v>
      </c>
      <c r="C53" s="19" t="s">
        <v>600</v>
      </c>
      <c r="D53" s="19" t="s">
        <v>601</v>
      </c>
      <c r="E53" s="19" t="s">
        <v>546</v>
      </c>
      <c r="F53" s="47">
        <v>55024</v>
      </c>
    </row>
    <row r="54" spans="1:6" x14ac:dyDescent="0.2">
      <c r="A54" s="48" t="s">
        <v>54</v>
      </c>
      <c r="B54" s="19">
        <v>892475</v>
      </c>
      <c r="C54" s="19" t="s">
        <v>602</v>
      </c>
      <c r="D54" s="19" t="s">
        <v>519</v>
      </c>
      <c r="E54" s="19" t="s">
        <v>502</v>
      </c>
      <c r="F54" s="47">
        <v>58801</v>
      </c>
    </row>
    <row r="55" spans="1:6" x14ac:dyDescent="0.2">
      <c r="A55" s="49" t="s">
        <v>326</v>
      </c>
      <c r="B55" s="19">
        <v>655265</v>
      </c>
      <c r="C55" s="19" t="s">
        <v>603</v>
      </c>
      <c r="D55" s="19" t="s">
        <v>604</v>
      </c>
      <c r="E55" s="19" t="s">
        <v>605</v>
      </c>
      <c r="F55" s="47">
        <v>80433</v>
      </c>
    </row>
    <row r="56" spans="1:6" x14ac:dyDescent="0.2">
      <c r="A56" s="50" t="s">
        <v>173</v>
      </c>
      <c r="B56" s="19">
        <v>655265</v>
      </c>
      <c r="C56" s="19" t="s">
        <v>603</v>
      </c>
      <c r="D56" s="19" t="s">
        <v>604</v>
      </c>
      <c r="E56" s="19" t="s">
        <v>605</v>
      </c>
      <c r="F56" s="47">
        <v>80433</v>
      </c>
    </row>
    <row r="57" spans="1:6" x14ac:dyDescent="0.2">
      <c r="A57" s="50" t="s">
        <v>176</v>
      </c>
      <c r="B57" s="19">
        <v>674676</v>
      </c>
      <c r="C57" s="19" t="s">
        <v>606</v>
      </c>
      <c r="D57" s="19" t="s">
        <v>607</v>
      </c>
      <c r="E57" s="19" t="s">
        <v>546</v>
      </c>
      <c r="F57" s="47" t="s">
        <v>608</v>
      </c>
    </row>
    <row r="58" spans="1:6" x14ac:dyDescent="0.2">
      <c r="A58" s="48" t="s">
        <v>55</v>
      </c>
      <c r="B58" s="19">
        <v>691796</v>
      </c>
      <c r="C58" s="19" t="s">
        <v>609</v>
      </c>
      <c r="D58" s="19" t="s">
        <v>610</v>
      </c>
      <c r="E58" s="19" t="s">
        <v>611</v>
      </c>
      <c r="F58" s="47">
        <v>34785</v>
      </c>
    </row>
    <row r="59" spans="1:6" x14ac:dyDescent="0.2">
      <c r="A59" s="49" t="s">
        <v>314</v>
      </c>
      <c r="B59" s="19">
        <v>780868</v>
      </c>
      <c r="C59" s="19" t="s">
        <v>612</v>
      </c>
      <c r="D59" s="19" t="s">
        <v>613</v>
      </c>
      <c r="E59" s="19" t="s">
        <v>614</v>
      </c>
      <c r="F59" s="47">
        <v>41018</v>
      </c>
    </row>
    <row r="60" spans="1:6" x14ac:dyDescent="0.2">
      <c r="A60" s="45" t="s">
        <v>242</v>
      </c>
      <c r="B60" s="19">
        <v>891204</v>
      </c>
      <c r="C60" s="46" t="s">
        <v>615</v>
      </c>
      <c r="D60" s="19" t="s">
        <v>616</v>
      </c>
      <c r="E60" s="19" t="s">
        <v>617</v>
      </c>
      <c r="F60" s="47">
        <v>29212</v>
      </c>
    </row>
    <row r="61" spans="1:6" x14ac:dyDescent="0.2">
      <c r="A61" s="48" t="s">
        <v>618</v>
      </c>
      <c r="B61" s="19">
        <v>860836</v>
      </c>
      <c r="C61" s="19" t="s">
        <v>619</v>
      </c>
      <c r="D61" s="19" t="s">
        <v>519</v>
      </c>
      <c r="E61" s="19" t="s">
        <v>502</v>
      </c>
      <c r="F61" s="47" t="s">
        <v>620</v>
      </c>
    </row>
    <row r="62" spans="1:6" x14ac:dyDescent="0.2">
      <c r="A62" s="48" t="s">
        <v>621</v>
      </c>
      <c r="B62" s="19">
        <v>860836</v>
      </c>
      <c r="C62" s="19" t="s">
        <v>619</v>
      </c>
      <c r="D62" s="19" t="s">
        <v>519</v>
      </c>
      <c r="E62" s="19" t="s">
        <v>502</v>
      </c>
      <c r="F62" s="47" t="s">
        <v>620</v>
      </c>
    </row>
    <row r="63" spans="1:6" x14ac:dyDescent="0.2">
      <c r="A63" s="48" t="s">
        <v>622</v>
      </c>
      <c r="B63" s="19">
        <v>860836</v>
      </c>
      <c r="C63" s="19" t="s">
        <v>619</v>
      </c>
      <c r="D63" s="19" t="s">
        <v>519</v>
      </c>
      <c r="E63" s="19" t="s">
        <v>502</v>
      </c>
      <c r="F63" s="47" t="s">
        <v>620</v>
      </c>
    </row>
    <row r="64" spans="1:6" x14ac:dyDescent="0.2">
      <c r="A64" s="48" t="s">
        <v>623</v>
      </c>
      <c r="B64" s="19">
        <v>860836</v>
      </c>
      <c r="C64" s="19" t="s">
        <v>619</v>
      </c>
      <c r="D64" s="19" t="s">
        <v>519</v>
      </c>
      <c r="E64" s="19" t="s">
        <v>502</v>
      </c>
      <c r="F64" s="47" t="s">
        <v>620</v>
      </c>
    </row>
    <row r="65" spans="1:6" x14ac:dyDescent="0.2">
      <c r="A65" s="48" t="s">
        <v>624</v>
      </c>
      <c r="B65" s="19">
        <v>860836</v>
      </c>
      <c r="C65" s="19" t="s">
        <v>619</v>
      </c>
      <c r="D65" s="19" t="s">
        <v>519</v>
      </c>
      <c r="E65" s="19" t="s">
        <v>502</v>
      </c>
      <c r="F65" s="47" t="s">
        <v>620</v>
      </c>
    </row>
    <row r="66" spans="1:6" x14ac:dyDescent="0.2">
      <c r="A66" s="45" t="s">
        <v>625</v>
      </c>
      <c r="B66" s="19">
        <v>914891</v>
      </c>
      <c r="C66" s="19" t="s">
        <v>626</v>
      </c>
      <c r="D66" s="19" t="s">
        <v>627</v>
      </c>
      <c r="E66" s="19" t="s">
        <v>628</v>
      </c>
      <c r="F66" s="47">
        <v>57702</v>
      </c>
    </row>
    <row r="67" spans="1:6" x14ac:dyDescent="0.2">
      <c r="A67" s="45" t="s">
        <v>629</v>
      </c>
      <c r="B67" s="19">
        <v>914891</v>
      </c>
      <c r="C67" s="19" t="s">
        <v>626</v>
      </c>
      <c r="D67" s="19" t="s">
        <v>627</v>
      </c>
      <c r="E67" s="19" t="s">
        <v>628</v>
      </c>
      <c r="F67" s="47">
        <v>57702</v>
      </c>
    </row>
    <row r="68" spans="1:6" x14ac:dyDescent="0.2">
      <c r="A68" s="45" t="s">
        <v>630</v>
      </c>
      <c r="B68" s="19">
        <v>914891</v>
      </c>
      <c r="C68" s="19" t="s">
        <v>626</v>
      </c>
      <c r="D68" s="19" t="s">
        <v>627</v>
      </c>
      <c r="E68" s="19" t="s">
        <v>628</v>
      </c>
      <c r="F68" s="47">
        <v>57702</v>
      </c>
    </row>
    <row r="69" spans="1:6" ht="25.5" x14ac:dyDescent="0.2">
      <c r="A69" s="45" t="s">
        <v>243</v>
      </c>
      <c r="B69" s="19">
        <v>897647</v>
      </c>
      <c r="C69" s="46" t="s">
        <v>631</v>
      </c>
      <c r="D69" s="19" t="s">
        <v>560</v>
      </c>
      <c r="E69" s="19" t="s">
        <v>502</v>
      </c>
      <c r="F69" s="53">
        <v>58849</v>
      </c>
    </row>
    <row r="70" spans="1:6" x14ac:dyDescent="0.2">
      <c r="A70" s="48" t="s">
        <v>56</v>
      </c>
      <c r="B70" s="19">
        <v>828443</v>
      </c>
      <c r="C70" s="19" t="s">
        <v>632</v>
      </c>
      <c r="D70" s="19" t="s">
        <v>565</v>
      </c>
      <c r="E70" s="19" t="s">
        <v>566</v>
      </c>
      <c r="F70" s="47">
        <v>59108</v>
      </c>
    </row>
    <row r="71" spans="1:6" x14ac:dyDescent="0.2">
      <c r="A71" s="48" t="s">
        <v>57</v>
      </c>
      <c r="B71" s="19">
        <v>882677</v>
      </c>
      <c r="C71" s="19" t="s">
        <v>633</v>
      </c>
      <c r="D71" s="19" t="s">
        <v>560</v>
      </c>
      <c r="E71" s="19" t="s">
        <v>502</v>
      </c>
      <c r="F71" s="47">
        <v>58849</v>
      </c>
    </row>
    <row r="72" spans="1:6" x14ac:dyDescent="0.2">
      <c r="A72" s="45" t="s">
        <v>274</v>
      </c>
      <c r="B72" s="19">
        <v>742480</v>
      </c>
      <c r="C72" s="46" t="s">
        <v>634</v>
      </c>
      <c r="D72" s="46" t="s">
        <v>635</v>
      </c>
      <c r="E72" s="19" t="s">
        <v>499</v>
      </c>
      <c r="F72" s="47">
        <v>80465</v>
      </c>
    </row>
    <row r="73" spans="1:6" x14ac:dyDescent="0.2">
      <c r="A73" s="50" t="s">
        <v>60</v>
      </c>
      <c r="B73" s="34">
        <v>886293</v>
      </c>
      <c r="C73" s="19" t="s">
        <v>636</v>
      </c>
      <c r="D73" s="19" t="s">
        <v>637</v>
      </c>
      <c r="E73" s="19" t="s">
        <v>499</v>
      </c>
      <c r="F73" s="47">
        <v>80017</v>
      </c>
    </row>
    <row r="74" spans="1:6" x14ac:dyDescent="0.2">
      <c r="A74" s="49" t="s">
        <v>438</v>
      </c>
      <c r="B74" s="19">
        <v>627717</v>
      </c>
      <c r="C74" s="19" t="s">
        <v>638</v>
      </c>
      <c r="D74" s="19" t="s">
        <v>639</v>
      </c>
      <c r="E74" s="19" t="s">
        <v>571</v>
      </c>
      <c r="F74" s="47">
        <v>98683</v>
      </c>
    </row>
    <row r="75" spans="1:6" x14ac:dyDescent="0.2">
      <c r="A75" s="48" t="s">
        <v>61</v>
      </c>
      <c r="B75" s="19">
        <v>786859</v>
      </c>
      <c r="C75" s="19" t="s">
        <v>640</v>
      </c>
      <c r="D75" s="19" t="s">
        <v>641</v>
      </c>
      <c r="E75" s="19" t="s">
        <v>574</v>
      </c>
      <c r="F75" s="47">
        <v>77305</v>
      </c>
    </row>
    <row r="76" spans="1:6" x14ac:dyDescent="0.2">
      <c r="A76" s="48" t="s">
        <v>63</v>
      </c>
      <c r="B76" s="19">
        <v>776691</v>
      </c>
      <c r="C76" s="19" t="s">
        <v>642</v>
      </c>
      <c r="D76" s="19" t="s">
        <v>643</v>
      </c>
      <c r="E76" s="19" t="s">
        <v>505</v>
      </c>
      <c r="F76" s="47">
        <v>77381</v>
      </c>
    </row>
    <row r="77" spans="1:6" x14ac:dyDescent="0.2">
      <c r="A77" s="48" t="s">
        <v>64</v>
      </c>
      <c r="B77" s="19">
        <v>868773</v>
      </c>
      <c r="C77" s="19" t="s">
        <v>644</v>
      </c>
      <c r="D77" s="19" t="s">
        <v>645</v>
      </c>
      <c r="E77" s="19" t="s">
        <v>566</v>
      </c>
      <c r="F77" s="47">
        <v>59270</v>
      </c>
    </row>
    <row r="78" spans="1:6" x14ac:dyDescent="0.2">
      <c r="A78" s="48" t="s">
        <v>66</v>
      </c>
      <c r="B78" s="19">
        <v>912078</v>
      </c>
      <c r="C78" s="19" t="s">
        <v>646</v>
      </c>
      <c r="D78" s="19" t="s">
        <v>560</v>
      </c>
      <c r="E78" s="19" t="s">
        <v>502</v>
      </c>
      <c r="F78" s="47">
        <v>58849</v>
      </c>
    </row>
    <row r="79" spans="1:6" x14ac:dyDescent="0.2">
      <c r="A79" s="45" t="s">
        <v>362</v>
      </c>
      <c r="B79" s="19">
        <v>845528</v>
      </c>
      <c r="C79" s="46" t="s">
        <v>647</v>
      </c>
      <c r="D79" s="19" t="s">
        <v>519</v>
      </c>
      <c r="E79" s="19" t="s">
        <v>502</v>
      </c>
      <c r="F79" s="47" t="s">
        <v>648</v>
      </c>
    </row>
    <row r="80" spans="1:6" x14ac:dyDescent="0.2">
      <c r="A80" s="48" t="s">
        <v>68</v>
      </c>
      <c r="B80" s="19">
        <v>655265</v>
      </c>
      <c r="C80" s="19" t="s">
        <v>649</v>
      </c>
      <c r="D80" s="19" t="s">
        <v>568</v>
      </c>
      <c r="E80" s="19" t="s">
        <v>499</v>
      </c>
      <c r="F80" s="47">
        <v>80237</v>
      </c>
    </row>
    <row r="81" spans="1:6" x14ac:dyDescent="0.2">
      <c r="A81" s="50" t="s">
        <v>233</v>
      </c>
      <c r="B81" s="19">
        <v>902617</v>
      </c>
      <c r="C81" s="19" t="s">
        <v>650</v>
      </c>
      <c r="D81" s="19" t="s">
        <v>516</v>
      </c>
      <c r="E81" s="19" t="s">
        <v>517</v>
      </c>
      <c r="F81" s="47">
        <v>69145</v>
      </c>
    </row>
    <row r="82" spans="1:6" x14ac:dyDescent="0.2">
      <c r="A82" s="50" t="s">
        <v>651</v>
      </c>
      <c r="B82" s="51">
        <v>818961</v>
      </c>
      <c r="C82" s="19" t="s">
        <v>650</v>
      </c>
      <c r="D82" s="19" t="s">
        <v>516</v>
      </c>
      <c r="E82" s="19" t="s">
        <v>517</v>
      </c>
      <c r="F82" s="47">
        <v>69145</v>
      </c>
    </row>
    <row r="83" spans="1:6" x14ac:dyDescent="0.2">
      <c r="A83" s="45" t="s">
        <v>277</v>
      </c>
      <c r="B83" s="19">
        <v>858090</v>
      </c>
      <c r="C83" s="46" t="s">
        <v>652</v>
      </c>
      <c r="D83" s="46" t="s">
        <v>498</v>
      </c>
      <c r="E83" s="19" t="s">
        <v>499</v>
      </c>
      <c r="F83" s="47">
        <v>80111</v>
      </c>
    </row>
    <row r="84" spans="1:6" ht="15.75" x14ac:dyDescent="0.2">
      <c r="A84" s="45" t="s">
        <v>71</v>
      </c>
      <c r="B84" s="19">
        <v>840861</v>
      </c>
      <c r="C84" s="19" t="s">
        <v>653</v>
      </c>
      <c r="D84" s="19" t="s">
        <v>654</v>
      </c>
      <c r="E84" s="19" t="s">
        <v>499</v>
      </c>
      <c r="F84" s="47">
        <v>80005</v>
      </c>
    </row>
    <row r="85" spans="1:6" x14ac:dyDescent="0.2">
      <c r="A85" s="45" t="s">
        <v>439</v>
      </c>
      <c r="B85" s="19">
        <v>823864</v>
      </c>
      <c r="C85" s="19" t="s">
        <v>655</v>
      </c>
      <c r="D85" s="19" t="s">
        <v>656</v>
      </c>
      <c r="E85" s="19" t="s">
        <v>571</v>
      </c>
      <c r="F85" s="47">
        <v>98282</v>
      </c>
    </row>
    <row r="86" spans="1:6" x14ac:dyDescent="0.2">
      <c r="A86" s="50" t="s">
        <v>179</v>
      </c>
      <c r="B86" s="19">
        <v>674676</v>
      </c>
      <c r="C86" s="19" t="s">
        <v>657</v>
      </c>
      <c r="D86" s="19" t="s">
        <v>658</v>
      </c>
      <c r="E86" s="19" t="s">
        <v>546</v>
      </c>
      <c r="F86" s="47">
        <v>55101</v>
      </c>
    </row>
    <row r="87" spans="1:6" x14ac:dyDescent="0.2">
      <c r="A87" s="49" t="s">
        <v>279</v>
      </c>
      <c r="B87" s="19">
        <v>900391</v>
      </c>
      <c r="C87" s="19" t="s">
        <v>659</v>
      </c>
      <c r="D87" s="19" t="s">
        <v>660</v>
      </c>
      <c r="E87" s="19" t="s">
        <v>499</v>
      </c>
      <c r="F87" s="47">
        <v>80401</v>
      </c>
    </row>
    <row r="88" spans="1:6" x14ac:dyDescent="0.2">
      <c r="A88" s="48" t="s">
        <v>76</v>
      </c>
      <c r="B88" s="19">
        <v>776779</v>
      </c>
      <c r="C88" s="19" t="s">
        <v>661</v>
      </c>
      <c r="D88" s="19" t="s">
        <v>645</v>
      </c>
      <c r="E88" s="19" t="s">
        <v>566</v>
      </c>
      <c r="F88" s="47">
        <v>59270</v>
      </c>
    </row>
    <row r="89" spans="1:6" x14ac:dyDescent="0.2">
      <c r="A89" s="45" t="s">
        <v>78</v>
      </c>
      <c r="B89" s="19">
        <v>840861</v>
      </c>
      <c r="C89" s="46" t="s">
        <v>662</v>
      </c>
      <c r="D89" s="19" t="s">
        <v>663</v>
      </c>
      <c r="E89" s="19" t="s">
        <v>499</v>
      </c>
      <c r="F89" s="47">
        <v>80602</v>
      </c>
    </row>
    <row r="90" spans="1:6" x14ac:dyDescent="0.2">
      <c r="A90" s="45" t="s">
        <v>79</v>
      </c>
      <c r="B90" s="19">
        <v>910638</v>
      </c>
      <c r="C90" s="46" t="s">
        <v>664</v>
      </c>
      <c r="D90" s="46" t="s">
        <v>504</v>
      </c>
      <c r="E90" s="19" t="s">
        <v>505</v>
      </c>
      <c r="F90" s="47">
        <v>75205</v>
      </c>
    </row>
    <row r="91" spans="1:6" x14ac:dyDescent="0.2">
      <c r="A91" s="54" t="s">
        <v>80</v>
      </c>
      <c r="B91" s="19">
        <v>922738</v>
      </c>
      <c r="C91" s="19" t="s">
        <v>665</v>
      </c>
      <c r="D91" s="19" t="s">
        <v>519</v>
      </c>
      <c r="E91" s="19" t="s">
        <v>502</v>
      </c>
      <c r="F91" s="47">
        <v>58801</v>
      </c>
    </row>
    <row r="92" spans="1:6" x14ac:dyDescent="0.2">
      <c r="A92" s="49" t="s">
        <v>442</v>
      </c>
      <c r="B92" s="19">
        <v>827337</v>
      </c>
      <c r="C92" s="19" t="s">
        <v>666</v>
      </c>
      <c r="D92" s="19" t="s">
        <v>501</v>
      </c>
      <c r="E92" s="19" t="s">
        <v>502</v>
      </c>
      <c r="F92" s="47">
        <v>58502</v>
      </c>
    </row>
    <row r="93" spans="1:6" x14ac:dyDescent="0.2">
      <c r="A93" s="49" t="s">
        <v>440</v>
      </c>
      <c r="B93" s="19">
        <v>847309</v>
      </c>
      <c r="C93" s="19" t="s">
        <v>667</v>
      </c>
      <c r="D93" s="19" t="s">
        <v>504</v>
      </c>
      <c r="E93" s="19" t="s">
        <v>574</v>
      </c>
      <c r="F93" s="47">
        <v>75219</v>
      </c>
    </row>
    <row r="94" spans="1:6" x14ac:dyDescent="0.2">
      <c r="A94" s="49" t="s">
        <v>441</v>
      </c>
      <c r="B94" s="19">
        <v>847309</v>
      </c>
      <c r="C94" s="19" t="s">
        <v>667</v>
      </c>
      <c r="D94" s="19" t="s">
        <v>504</v>
      </c>
      <c r="E94" s="19" t="s">
        <v>574</v>
      </c>
      <c r="F94" s="47">
        <v>75219</v>
      </c>
    </row>
    <row r="95" spans="1:6" x14ac:dyDescent="0.2">
      <c r="A95" s="50" t="s">
        <v>183</v>
      </c>
      <c r="B95" s="19">
        <v>830378</v>
      </c>
      <c r="C95" s="19" t="s">
        <v>668</v>
      </c>
      <c r="D95" s="19" t="s">
        <v>568</v>
      </c>
      <c r="E95" s="19" t="s">
        <v>499</v>
      </c>
      <c r="F95" s="47">
        <v>80202</v>
      </c>
    </row>
    <row r="96" spans="1:6" x14ac:dyDescent="0.2">
      <c r="A96" s="48" t="s">
        <v>81</v>
      </c>
      <c r="B96" s="19">
        <v>655265</v>
      </c>
      <c r="C96" s="19" t="s">
        <v>669</v>
      </c>
      <c r="D96" s="19" t="s">
        <v>670</v>
      </c>
      <c r="E96" s="19" t="s">
        <v>499</v>
      </c>
      <c r="F96" s="47">
        <v>80134</v>
      </c>
    </row>
    <row r="97" spans="1:6" ht="25.5" x14ac:dyDescent="0.2">
      <c r="A97" s="45" t="s">
        <v>671</v>
      </c>
      <c r="B97" s="19">
        <v>655265</v>
      </c>
      <c r="C97" s="19" t="s">
        <v>669</v>
      </c>
      <c r="D97" s="19" t="s">
        <v>670</v>
      </c>
      <c r="E97" s="19" t="s">
        <v>499</v>
      </c>
      <c r="F97" s="47">
        <v>80134</v>
      </c>
    </row>
    <row r="98" spans="1:6" x14ac:dyDescent="0.2">
      <c r="A98" s="45" t="s">
        <v>329</v>
      </c>
      <c r="B98" s="19">
        <v>892875</v>
      </c>
      <c r="C98" s="46" t="s">
        <v>672</v>
      </c>
      <c r="D98" s="46" t="s">
        <v>539</v>
      </c>
      <c r="E98" s="19" t="s">
        <v>505</v>
      </c>
      <c r="F98" s="47">
        <v>77032</v>
      </c>
    </row>
    <row r="99" spans="1:6" x14ac:dyDescent="0.2">
      <c r="A99" s="45" t="s">
        <v>397</v>
      </c>
      <c r="B99" s="19">
        <v>861876</v>
      </c>
      <c r="C99" s="46" t="s">
        <v>673</v>
      </c>
      <c r="D99" s="19" t="s">
        <v>597</v>
      </c>
      <c r="E99" s="19" t="s">
        <v>502</v>
      </c>
      <c r="F99" s="47" t="s">
        <v>674</v>
      </c>
    </row>
    <row r="100" spans="1:6" x14ac:dyDescent="0.2">
      <c r="A100" s="50" t="s">
        <v>185</v>
      </c>
      <c r="B100" s="51">
        <v>699797</v>
      </c>
      <c r="C100" s="19" t="s">
        <v>675</v>
      </c>
      <c r="D100" s="19" t="s">
        <v>676</v>
      </c>
      <c r="E100" s="19" t="s">
        <v>517</v>
      </c>
      <c r="F100" s="47">
        <v>68347</v>
      </c>
    </row>
    <row r="101" spans="1:6" x14ac:dyDescent="0.2">
      <c r="A101" s="49" t="s">
        <v>82</v>
      </c>
      <c r="B101" s="19">
        <v>912472</v>
      </c>
      <c r="C101" s="19" t="s">
        <v>677</v>
      </c>
      <c r="D101" s="19" t="s">
        <v>539</v>
      </c>
      <c r="E101" s="19" t="s">
        <v>505</v>
      </c>
      <c r="F101" s="47">
        <v>77010</v>
      </c>
    </row>
    <row r="102" spans="1:6" x14ac:dyDescent="0.2">
      <c r="A102" s="45" t="s">
        <v>316</v>
      </c>
      <c r="B102" s="19">
        <v>919105</v>
      </c>
      <c r="C102" s="46" t="s">
        <v>678</v>
      </c>
      <c r="D102" s="19" t="s">
        <v>504</v>
      </c>
      <c r="E102" s="19" t="s">
        <v>505</v>
      </c>
      <c r="F102" s="47">
        <v>75205</v>
      </c>
    </row>
    <row r="103" spans="1:6" x14ac:dyDescent="0.2">
      <c r="A103" s="48" t="s">
        <v>84</v>
      </c>
      <c r="B103" s="19">
        <v>794150</v>
      </c>
      <c r="C103" s="19" t="s">
        <v>679</v>
      </c>
      <c r="D103" s="19" t="s">
        <v>501</v>
      </c>
      <c r="E103" s="19" t="s">
        <v>502</v>
      </c>
      <c r="F103" s="47">
        <v>58502</v>
      </c>
    </row>
    <row r="104" spans="1:6" x14ac:dyDescent="0.2">
      <c r="A104" s="49" t="s">
        <v>443</v>
      </c>
      <c r="B104" s="19">
        <v>884764</v>
      </c>
      <c r="C104" s="19" t="s">
        <v>680</v>
      </c>
      <c r="D104" s="19" t="s">
        <v>681</v>
      </c>
      <c r="E104" s="19" t="s">
        <v>682</v>
      </c>
      <c r="F104" s="47">
        <v>80127</v>
      </c>
    </row>
    <row r="105" spans="1:6" ht="25.5" x14ac:dyDescent="0.2">
      <c r="A105" s="45" t="s">
        <v>683</v>
      </c>
      <c r="B105" s="19">
        <v>655265</v>
      </c>
      <c r="C105" s="19" t="s">
        <v>684</v>
      </c>
      <c r="D105" s="19" t="s">
        <v>568</v>
      </c>
      <c r="E105" s="19" t="s">
        <v>499</v>
      </c>
      <c r="F105" s="47">
        <v>80231</v>
      </c>
    </row>
    <row r="106" spans="1:6" x14ac:dyDescent="0.2">
      <c r="A106" s="48" t="s">
        <v>86</v>
      </c>
      <c r="B106" s="19">
        <v>655265</v>
      </c>
      <c r="C106" s="19" t="s">
        <v>684</v>
      </c>
      <c r="D106" s="19" t="s">
        <v>568</v>
      </c>
      <c r="E106" s="19" t="s">
        <v>499</v>
      </c>
      <c r="F106" s="47">
        <v>80231</v>
      </c>
    </row>
    <row r="107" spans="1:6" x14ac:dyDescent="0.2">
      <c r="A107" s="50" t="s">
        <v>186</v>
      </c>
      <c r="B107" s="19">
        <v>867303</v>
      </c>
      <c r="C107" s="19" t="s">
        <v>685</v>
      </c>
      <c r="D107" s="19" t="s">
        <v>686</v>
      </c>
      <c r="E107" s="19" t="s">
        <v>687</v>
      </c>
      <c r="F107" s="47">
        <v>1050</v>
      </c>
    </row>
    <row r="108" spans="1:6" ht="25.5" x14ac:dyDescent="0.2">
      <c r="A108" s="45" t="s">
        <v>688</v>
      </c>
      <c r="B108" s="19">
        <v>897323</v>
      </c>
      <c r="C108" s="19" t="s">
        <v>689</v>
      </c>
      <c r="D108" s="19" t="s">
        <v>690</v>
      </c>
      <c r="E108" s="19" t="s">
        <v>546</v>
      </c>
      <c r="F108" s="47">
        <v>55057</v>
      </c>
    </row>
    <row r="109" spans="1:6" ht="25.5" x14ac:dyDescent="0.2">
      <c r="A109" s="45" t="s">
        <v>445</v>
      </c>
      <c r="B109" s="19">
        <v>897323</v>
      </c>
      <c r="C109" s="19" t="s">
        <v>691</v>
      </c>
      <c r="D109" s="19" t="s">
        <v>690</v>
      </c>
      <c r="E109" s="19" t="s">
        <v>546</v>
      </c>
      <c r="F109" s="47">
        <v>55057</v>
      </c>
    </row>
    <row r="110" spans="1:6" x14ac:dyDescent="0.2">
      <c r="A110" s="49" t="s">
        <v>331</v>
      </c>
      <c r="B110" s="19">
        <v>655265</v>
      </c>
      <c r="C110" s="19" t="s">
        <v>692</v>
      </c>
      <c r="D110" s="19" t="s">
        <v>654</v>
      </c>
      <c r="E110" s="19" t="s">
        <v>499</v>
      </c>
      <c r="F110" s="47">
        <v>80007</v>
      </c>
    </row>
    <row r="111" spans="1:6" x14ac:dyDescent="0.2">
      <c r="A111" s="45" t="s">
        <v>245</v>
      </c>
      <c r="B111" s="19">
        <v>920471</v>
      </c>
      <c r="C111" s="46" t="s">
        <v>693</v>
      </c>
      <c r="D111" s="19" t="s">
        <v>694</v>
      </c>
      <c r="E111" s="19" t="s">
        <v>695</v>
      </c>
      <c r="F111" s="47">
        <v>84117</v>
      </c>
    </row>
    <row r="112" spans="1:6" x14ac:dyDescent="0.2">
      <c r="A112" s="50" t="s">
        <v>188</v>
      </c>
      <c r="B112" s="19">
        <v>674676</v>
      </c>
      <c r="C112" s="19" t="s">
        <v>696</v>
      </c>
      <c r="D112" s="19" t="s">
        <v>601</v>
      </c>
      <c r="E112" s="19" t="s">
        <v>546</v>
      </c>
      <c r="F112" s="47">
        <v>55024</v>
      </c>
    </row>
    <row r="113" spans="1:6" x14ac:dyDescent="0.2">
      <c r="A113" s="45" t="s">
        <v>697</v>
      </c>
      <c r="B113" s="19">
        <v>875501</v>
      </c>
      <c r="C113" s="46" t="s">
        <v>698</v>
      </c>
      <c r="D113" s="19" t="s">
        <v>699</v>
      </c>
      <c r="E113" s="19" t="s">
        <v>700</v>
      </c>
      <c r="F113" s="47">
        <v>82601</v>
      </c>
    </row>
    <row r="114" spans="1:6" x14ac:dyDescent="0.2">
      <c r="A114" s="45" t="s">
        <v>701</v>
      </c>
      <c r="B114" s="19">
        <v>899580</v>
      </c>
      <c r="C114" s="46" t="s">
        <v>702</v>
      </c>
      <c r="D114" s="19" t="s">
        <v>703</v>
      </c>
      <c r="E114" s="19" t="s">
        <v>704</v>
      </c>
      <c r="F114" s="47">
        <v>28104</v>
      </c>
    </row>
    <row r="115" spans="1:6" x14ac:dyDescent="0.2">
      <c r="A115" s="45" t="s">
        <v>705</v>
      </c>
      <c r="B115" s="19">
        <v>899580</v>
      </c>
      <c r="C115" s="46" t="s">
        <v>702</v>
      </c>
      <c r="D115" s="19" t="s">
        <v>703</v>
      </c>
      <c r="E115" s="19" t="s">
        <v>704</v>
      </c>
      <c r="F115" s="47">
        <v>28104</v>
      </c>
    </row>
    <row r="116" spans="1:6" x14ac:dyDescent="0.2">
      <c r="A116" s="45" t="s">
        <v>706</v>
      </c>
      <c r="B116" s="19">
        <v>899580</v>
      </c>
      <c r="C116" s="46" t="s">
        <v>702</v>
      </c>
      <c r="D116" s="19" t="s">
        <v>703</v>
      </c>
      <c r="E116" s="19" t="s">
        <v>704</v>
      </c>
      <c r="F116" s="47">
        <v>28104</v>
      </c>
    </row>
    <row r="117" spans="1:6" x14ac:dyDescent="0.2">
      <c r="A117" s="45" t="s">
        <v>446</v>
      </c>
      <c r="B117" s="19">
        <v>761068</v>
      </c>
      <c r="C117" s="19" t="s">
        <v>707</v>
      </c>
      <c r="D117" s="19" t="s">
        <v>708</v>
      </c>
      <c r="E117" s="19" t="s">
        <v>549</v>
      </c>
      <c r="F117" s="47">
        <v>94558</v>
      </c>
    </row>
    <row r="118" spans="1:6" x14ac:dyDescent="0.2">
      <c r="A118" s="49" t="s">
        <v>444</v>
      </c>
      <c r="B118" s="19">
        <v>812221</v>
      </c>
      <c r="C118" s="19" t="s">
        <v>709</v>
      </c>
      <c r="D118" s="19" t="s">
        <v>710</v>
      </c>
      <c r="E118" s="19" t="s">
        <v>502</v>
      </c>
      <c r="F118" s="47">
        <v>58601</v>
      </c>
    </row>
    <row r="119" spans="1:6" x14ac:dyDescent="0.2">
      <c r="A119" s="50" t="s">
        <v>190</v>
      </c>
      <c r="B119" s="19">
        <v>674676</v>
      </c>
      <c r="C119" s="19" t="s">
        <v>711</v>
      </c>
      <c r="D119" s="19" t="s">
        <v>712</v>
      </c>
      <c r="E119" s="19" t="s">
        <v>546</v>
      </c>
      <c r="F119" s="47" t="s">
        <v>713</v>
      </c>
    </row>
    <row r="120" spans="1:6" x14ac:dyDescent="0.2">
      <c r="A120" s="45" t="s">
        <v>282</v>
      </c>
      <c r="B120" s="19">
        <v>777676</v>
      </c>
      <c r="C120" s="46" t="s">
        <v>668</v>
      </c>
      <c r="D120" s="46" t="s">
        <v>568</v>
      </c>
      <c r="E120" s="19" t="s">
        <v>499</v>
      </c>
      <c r="F120" s="47">
        <v>80202</v>
      </c>
    </row>
    <row r="121" spans="1:6" ht="15.75" x14ac:dyDescent="0.2">
      <c r="A121" s="45" t="s">
        <v>89</v>
      </c>
      <c r="B121" s="19">
        <v>898639</v>
      </c>
      <c r="C121" s="46" t="s">
        <v>714</v>
      </c>
      <c r="D121" s="19" t="s">
        <v>521</v>
      </c>
      <c r="E121" s="19" t="s">
        <v>502</v>
      </c>
      <c r="F121" s="47">
        <v>58104</v>
      </c>
    </row>
    <row r="122" spans="1:6" x14ac:dyDescent="0.2">
      <c r="A122" s="45" t="s">
        <v>250</v>
      </c>
      <c r="B122" s="19">
        <v>914746</v>
      </c>
      <c r="C122" s="46" t="s">
        <v>715</v>
      </c>
      <c r="D122" s="19" t="s">
        <v>716</v>
      </c>
      <c r="E122" s="19" t="s">
        <v>21</v>
      </c>
      <c r="F122" s="47">
        <v>49684</v>
      </c>
    </row>
    <row r="123" spans="1:6" ht="25.5" x14ac:dyDescent="0.2">
      <c r="A123" s="48" t="s">
        <v>90</v>
      </c>
      <c r="B123" s="19">
        <v>757258</v>
      </c>
      <c r="C123" s="19" t="s">
        <v>717</v>
      </c>
      <c r="D123" s="19" t="s">
        <v>519</v>
      </c>
      <c r="E123" s="19" t="s">
        <v>502</v>
      </c>
      <c r="F123" s="47">
        <v>58801</v>
      </c>
    </row>
    <row r="124" spans="1:6" x14ac:dyDescent="0.2">
      <c r="A124" s="50" t="s">
        <v>193</v>
      </c>
      <c r="B124" s="19">
        <v>699797</v>
      </c>
      <c r="C124" s="19" t="s">
        <v>718</v>
      </c>
      <c r="D124" s="19" t="s">
        <v>719</v>
      </c>
      <c r="E124" s="19" t="s">
        <v>502</v>
      </c>
      <c r="F124" s="47" t="s">
        <v>720</v>
      </c>
    </row>
    <row r="125" spans="1:6" x14ac:dyDescent="0.2">
      <c r="A125" s="48" t="s">
        <v>91</v>
      </c>
      <c r="B125" s="19">
        <v>920987</v>
      </c>
      <c r="C125" s="19" t="s">
        <v>721</v>
      </c>
      <c r="D125" s="19" t="s">
        <v>722</v>
      </c>
      <c r="E125" s="19" t="s">
        <v>723</v>
      </c>
      <c r="F125" s="47">
        <v>18103</v>
      </c>
    </row>
    <row r="126" spans="1:6" x14ac:dyDescent="0.2">
      <c r="A126" s="50" t="s">
        <v>92</v>
      </c>
      <c r="B126" s="51">
        <v>885527</v>
      </c>
      <c r="C126" s="19" t="s">
        <v>724</v>
      </c>
      <c r="D126" s="19" t="s">
        <v>725</v>
      </c>
      <c r="E126" s="19" t="s">
        <v>726</v>
      </c>
      <c r="F126" s="47">
        <v>80126</v>
      </c>
    </row>
    <row r="127" spans="1:6" x14ac:dyDescent="0.2">
      <c r="A127" s="48" t="s">
        <v>93</v>
      </c>
      <c r="B127" s="19">
        <v>736748</v>
      </c>
      <c r="C127" s="19" t="s">
        <v>727</v>
      </c>
      <c r="D127" s="19" t="s">
        <v>728</v>
      </c>
      <c r="E127" s="19" t="s">
        <v>566</v>
      </c>
      <c r="F127" s="47">
        <v>59601</v>
      </c>
    </row>
    <row r="128" spans="1:6" x14ac:dyDescent="0.2">
      <c r="A128" s="48" t="s">
        <v>95</v>
      </c>
      <c r="B128" s="19">
        <v>907517</v>
      </c>
      <c r="C128" s="19" t="s">
        <v>729</v>
      </c>
      <c r="D128" s="19" t="s">
        <v>645</v>
      </c>
      <c r="E128" s="19" t="s">
        <v>566</v>
      </c>
      <c r="F128" s="47">
        <v>59270</v>
      </c>
    </row>
    <row r="129" spans="1:6" x14ac:dyDescent="0.2">
      <c r="A129" s="45" t="s">
        <v>730</v>
      </c>
      <c r="B129" s="19">
        <v>925916</v>
      </c>
      <c r="C129" s="46" t="s">
        <v>731</v>
      </c>
      <c r="D129" s="19" t="s">
        <v>732</v>
      </c>
      <c r="E129" s="19" t="s">
        <v>628</v>
      </c>
      <c r="F129" s="47">
        <v>57783</v>
      </c>
    </row>
    <row r="130" spans="1:6" x14ac:dyDescent="0.2">
      <c r="A130" s="48" t="s">
        <v>98</v>
      </c>
      <c r="B130" s="19">
        <v>892475</v>
      </c>
      <c r="C130" s="19" t="s">
        <v>733</v>
      </c>
      <c r="D130" s="19" t="s">
        <v>519</v>
      </c>
      <c r="E130" s="19" t="s">
        <v>502</v>
      </c>
      <c r="F130" s="47">
        <v>58801</v>
      </c>
    </row>
    <row r="131" spans="1:6" x14ac:dyDescent="0.2">
      <c r="A131" s="48" t="s">
        <v>97</v>
      </c>
      <c r="B131" s="19">
        <v>892475</v>
      </c>
      <c r="C131" s="19" t="s">
        <v>734</v>
      </c>
      <c r="D131" s="19" t="s">
        <v>735</v>
      </c>
      <c r="E131" s="19" t="s">
        <v>546</v>
      </c>
      <c r="F131" s="47">
        <v>55469</v>
      </c>
    </row>
    <row r="132" spans="1:6" x14ac:dyDescent="0.2">
      <c r="A132" s="50" t="s">
        <v>194</v>
      </c>
      <c r="B132" s="51">
        <v>675517</v>
      </c>
      <c r="C132" s="19" t="s">
        <v>736</v>
      </c>
      <c r="D132" s="19" t="s">
        <v>737</v>
      </c>
      <c r="E132" s="19" t="s">
        <v>566</v>
      </c>
      <c r="F132" s="47">
        <v>59451</v>
      </c>
    </row>
    <row r="133" spans="1:6" x14ac:dyDescent="0.2">
      <c r="A133" s="48" t="s">
        <v>99</v>
      </c>
      <c r="B133" s="19">
        <v>688062</v>
      </c>
      <c r="C133" s="19" t="s">
        <v>738</v>
      </c>
      <c r="D133" s="19" t="s">
        <v>739</v>
      </c>
      <c r="E133" s="19" t="s">
        <v>549</v>
      </c>
      <c r="F133" s="47">
        <v>95843</v>
      </c>
    </row>
    <row r="134" spans="1:6" ht="25.5" x14ac:dyDescent="0.2">
      <c r="A134" s="45" t="s">
        <v>447</v>
      </c>
      <c r="B134" s="19">
        <v>692313</v>
      </c>
      <c r="C134" s="19" t="s">
        <v>740</v>
      </c>
      <c r="D134" s="19" t="s">
        <v>741</v>
      </c>
      <c r="E134" s="19" t="s">
        <v>546</v>
      </c>
      <c r="F134" s="47">
        <v>55313</v>
      </c>
    </row>
    <row r="135" spans="1:6" x14ac:dyDescent="0.2">
      <c r="A135" s="48" t="s">
        <v>101</v>
      </c>
      <c r="B135" s="19">
        <v>776057</v>
      </c>
      <c r="C135" s="19" t="s">
        <v>742</v>
      </c>
      <c r="D135" s="19" t="s">
        <v>743</v>
      </c>
      <c r="E135" s="19" t="s">
        <v>571</v>
      </c>
      <c r="F135" s="47">
        <v>98203</v>
      </c>
    </row>
    <row r="136" spans="1:6" x14ac:dyDescent="0.2">
      <c r="A136" s="45" t="s">
        <v>253</v>
      </c>
      <c r="B136" s="19">
        <v>925916</v>
      </c>
      <c r="C136" s="46" t="s">
        <v>744</v>
      </c>
      <c r="D136" s="19" t="s">
        <v>597</v>
      </c>
      <c r="E136" s="19" t="s">
        <v>502</v>
      </c>
      <c r="F136" s="47">
        <v>58503</v>
      </c>
    </row>
    <row r="137" spans="1:6" x14ac:dyDescent="0.2">
      <c r="A137" s="48" t="s">
        <v>103</v>
      </c>
      <c r="B137" s="19">
        <v>789972</v>
      </c>
      <c r="C137" s="19" t="s">
        <v>745</v>
      </c>
      <c r="D137" s="19" t="s">
        <v>519</v>
      </c>
      <c r="E137" s="19" t="s">
        <v>502</v>
      </c>
      <c r="F137" s="47">
        <v>58801</v>
      </c>
    </row>
    <row r="138" spans="1:6" ht="15.75" x14ac:dyDescent="0.2">
      <c r="A138" s="45" t="s">
        <v>104</v>
      </c>
      <c r="B138" s="19">
        <v>898639</v>
      </c>
      <c r="C138" s="46" t="s">
        <v>746</v>
      </c>
      <c r="D138" s="19" t="s">
        <v>747</v>
      </c>
      <c r="E138" s="19" t="s">
        <v>502</v>
      </c>
      <c r="F138" s="47">
        <v>58278</v>
      </c>
    </row>
    <row r="139" spans="1:6" x14ac:dyDescent="0.2">
      <c r="A139" s="48" t="s">
        <v>105</v>
      </c>
      <c r="B139" s="19">
        <v>892475</v>
      </c>
      <c r="C139" s="19" t="s">
        <v>748</v>
      </c>
      <c r="D139" s="19" t="s">
        <v>749</v>
      </c>
      <c r="E139" s="19" t="s">
        <v>52</v>
      </c>
      <c r="F139" s="47">
        <v>54481</v>
      </c>
    </row>
    <row r="140" spans="1:6" x14ac:dyDescent="0.2">
      <c r="A140" s="48" t="s">
        <v>106</v>
      </c>
      <c r="B140" s="19">
        <v>655265</v>
      </c>
      <c r="C140" s="19" t="s">
        <v>684</v>
      </c>
      <c r="D140" s="19" t="s">
        <v>568</v>
      </c>
      <c r="E140" s="19" t="s">
        <v>499</v>
      </c>
      <c r="F140" s="47">
        <v>80231</v>
      </c>
    </row>
    <row r="141" spans="1:6" x14ac:dyDescent="0.2">
      <c r="A141" s="48" t="s">
        <v>107</v>
      </c>
      <c r="B141" s="19">
        <v>755628</v>
      </c>
      <c r="C141" s="19" t="s">
        <v>750</v>
      </c>
      <c r="D141" s="19" t="s">
        <v>519</v>
      </c>
      <c r="E141" s="19" t="s">
        <v>502</v>
      </c>
      <c r="F141" s="47">
        <v>58801</v>
      </c>
    </row>
    <row r="142" spans="1:6" x14ac:dyDescent="0.2">
      <c r="A142" s="45" t="s">
        <v>254</v>
      </c>
      <c r="B142" s="19">
        <v>867303</v>
      </c>
      <c r="C142" s="46" t="s">
        <v>751</v>
      </c>
      <c r="D142" s="19" t="s">
        <v>752</v>
      </c>
      <c r="E142" s="19" t="s">
        <v>611</v>
      </c>
      <c r="F142" s="47">
        <v>33903</v>
      </c>
    </row>
    <row r="143" spans="1:6" x14ac:dyDescent="0.2">
      <c r="A143" s="48" t="s">
        <v>108</v>
      </c>
      <c r="B143" s="19">
        <v>632494</v>
      </c>
      <c r="C143" s="19" t="s">
        <v>753</v>
      </c>
      <c r="D143" s="19" t="s">
        <v>754</v>
      </c>
      <c r="E143" s="19" t="s">
        <v>628</v>
      </c>
      <c r="F143" s="47">
        <v>57262</v>
      </c>
    </row>
    <row r="144" spans="1:6" x14ac:dyDescent="0.2">
      <c r="A144" s="45" t="s">
        <v>284</v>
      </c>
      <c r="B144" s="19">
        <v>742480</v>
      </c>
      <c r="C144" s="46" t="s">
        <v>755</v>
      </c>
      <c r="D144" s="46" t="s">
        <v>565</v>
      </c>
      <c r="E144" s="19" t="s">
        <v>595</v>
      </c>
      <c r="F144" s="47" t="s">
        <v>756</v>
      </c>
    </row>
    <row r="145" spans="1:6" x14ac:dyDescent="0.2">
      <c r="A145" s="50" t="s">
        <v>110</v>
      </c>
      <c r="B145" s="19">
        <v>858090</v>
      </c>
      <c r="C145" s="19" t="s">
        <v>550</v>
      </c>
      <c r="D145" s="19" t="s">
        <v>551</v>
      </c>
      <c r="E145" s="19" t="s">
        <v>499</v>
      </c>
      <c r="F145" s="47" t="s">
        <v>552</v>
      </c>
    </row>
    <row r="146" spans="1:6" x14ac:dyDescent="0.2">
      <c r="A146" s="48" t="s">
        <v>111</v>
      </c>
      <c r="B146" s="19">
        <v>892475</v>
      </c>
      <c r="C146" s="19" t="s">
        <v>757</v>
      </c>
      <c r="D146" s="19" t="s">
        <v>758</v>
      </c>
      <c r="E146" s="19" t="s">
        <v>502</v>
      </c>
      <c r="F146" s="47">
        <v>58763</v>
      </c>
    </row>
    <row r="147" spans="1:6" x14ac:dyDescent="0.2">
      <c r="A147" s="45" t="s">
        <v>418</v>
      </c>
      <c r="B147" s="19">
        <v>879742</v>
      </c>
      <c r="C147" s="46" t="s">
        <v>759</v>
      </c>
      <c r="D147" s="46" t="s">
        <v>760</v>
      </c>
      <c r="E147" s="19" t="s">
        <v>499</v>
      </c>
      <c r="F147" s="47">
        <v>80122</v>
      </c>
    </row>
    <row r="148" spans="1:6" ht="25.5" x14ac:dyDescent="0.2">
      <c r="A148" s="45" t="s">
        <v>761</v>
      </c>
      <c r="B148" s="19">
        <v>897323</v>
      </c>
      <c r="C148" s="19" t="s">
        <v>689</v>
      </c>
      <c r="D148" s="19" t="s">
        <v>690</v>
      </c>
      <c r="E148" s="19" t="s">
        <v>546</v>
      </c>
      <c r="F148" s="47">
        <v>55057</v>
      </c>
    </row>
    <row r="149" spans="1:6" ht="25.5" x14ac:dyDescent="0.2">
      <c r="A149" s="45" t="s">
        <v>449</v>
      </c>
      <c r="B149" s="19">
        <v>897323</v>
      </c>
      <c r="C149" s="19" t="s">
        <v>691</v>
      </c>
      <c r="D149" s="19" t="s">
        <v>690</v>
      </c>
      <c r="E149" s="19" t="s">
        <v>546</v>
      </c>
      <c r="F149" s="47">
        <v>55057</v>
      </c>
    </row>
    <row r="150" spans="1:6" x14ac:dyDescent="0.2">
      <c r="A150" s="45" t="s">
        <v>301</v>
      </c>
      <c r="B150" s="19">
        <v>914891</v>
      </c>
      <c r="C150" s="46" t="s">
        <v>762</v>
      </c>
      <c r="D150" s="19" t="s">
        <v>763</v>
      </c>
      <c r="E150" s="19" t="s">
        <v>499</v>
      </c>
      <c r="F150" s="47">
        <v>81008</v>
      </c>
    </row>
    <row r="151" spans="1:6" x14ac:dyDescent="0.2">
      <c r="A151" s="45" t="s">
        <v>764</v>
      </c>
      <c r="B151" s="19" t="s">
        <v>765</v>
      </c>
      <c r="C151" s="46" t="s">
        <v>766</v>
      </c>
      <c r="D151" s="46" t="s">
        <v>568</v>
      </c>
      <c r="E151" s="19" t="s">
        <v>499</v>
      </c>
      <c r="F151" s="47">
        <v>80235</v>
      </c>
    </row>
    <row r="152" spans="1:6" x14ac:dyDescent="0.2">
      <c r="A152" s="50" t="s">
        <v>767</v>
      </c>
      <c r="B152" s="19">
        <v>699797</v>
      </c>
      <c r="C152" s="19" t="s">
        <v>768</v>
      </c>
      <c r="D152" s="19" t="s">
        <v>560</v>
      </c>
      <c r="E152" s="19" t="s">
        <v>502</v>
      </c>
      <c r="F152" s="47">
        <v>58849</v>
      </c>
    </row>
    <row r="153" spans="1:6" x14ac:dyDescent="0.2">
      <c r="A153" s="49" t="s">
        <v>450</v>
      </c>
      <c r="B153" s="19">
        <v>628615</v>
      </c>
      <c r="C153" s="19" t="s">
        <v>769</v>
      </c>
      <c r="D153" s="19" t="s">
        <v>770</v>
      </c>
      <c r="E153" s="19" t="s">
        <v>611</v>
      </c>
      <c r="F153" s="47">
        <v>33173</v>
      </c>
    </row>
    <row r="154" spans="1:6" x14ac:dyDescent="0.2">
      <c r="A154" s="45" t="s">
        <v>399</v>
      </c>
      <c r="B154" s="19">
        <v>898593</v>
      </c>
      <c r="C154" s="46" t="s">
        <v>771</v>
      </c>
      <c r="D154" s="19" t="s">
        <v>772</v>
      </c>
      <c r="E154" s="19" t="s">
        <v>587</v>
      </c>
      <c r="F154" s="47" t="s">
        <v>773</v>
      </c>
    </row>
    <row r="155" spans="1:6" x14ac:dyDescent="0.2">
      <c r="A155" s="50" t="s">
        <v>197</v>
      </c>
      <c r="B155" s="19">
        <v>867303</v>
      </c>
      <c r="C155" s="19" t="s">
        <v>774</v>
      </c>
      <c r="D155" s="19" t="s">
        <v>775</v>
      </c>
      <c r="E155" s="19" t="s">
        <v>611</v>
      </c>
      <c r="F155" s="47">
        <v>32909</v>
      </c>
    </row>
    <row r="156" spans="1:6" x14ac:dyDescent="0.2">
      <c r="A156" s="49" t="s">
        <v>448</v>
      </c>
      <c r="B156" s="19">
        <v>812221</v>
      </c>
      <c r="C156" s="19" t="s">
        <v>776</v>
      </c>
      <c r="D156" s="19" t="s">
        <v>777</v>
      </c>
      <c r="E156" s="19" t="s">
        <v>502</v>
      </c>
      <c r="F156" s="47">
        <v>58622</v>
      </c>
    </row>
    <row r="157" spans="1:6" x14ac:dyDescent="0.2">
      <c r="A157" s="48" t="s">
        <v>112</v>
      </c>
      <c r="B157" s="19">
        <v>830280</v>
      </c>
      <c r="C157" s="19" t="s">
        <v>778</v>
      </c>
      <c r="D157" s="19" t="s">
        <v>501</v>
      </c>
      <c r="E157" s="19" t="s">
        <v>502</v>
      </c>
      <c r="F157" s="47">
        <v>58503</v>
      </c>
    </row>
    <row r="158" spans="1:6" x14ac:dyDescent="0.2">
      <c r="A158" s="45" t="s">
        <v>779</v>
      </c>
      <c r="B158" s="19">
        <v>925916</v>
      </c>
      <c r="C158" s="46" t="s">
        <v>780</v>
      </c>
      <c r="D158" s="19" t="s">
        <v>597</v>
      </c>
      <c r="E158" s="19" t="s">
        <v>502</v>
      </c>
      <c r="F158" s="47">
        <v>58503</v>
      </c>
    </row>
    <row r="159" spans="1:6" ht="25.5" x14ac:dyDescent="0.2">
      <c r="A159" s="45" t="s">
        <v>451</v>
      </c>
      <c r="B159" s="19">
        <v>921317</v>
      </c>
      <c r="C159" s="19" t="s">
        <v>781</v>
      </c>
      <c r="D159" s="19" t="s">
        <v>519</v>
      </c>
      <c r="E159" s="19" t="s">
        <v>502</v>
      </c>
      <c r="F159" s="47">
        <v>58802</v>
      </c>
    </row>
    <row r="160" spans="1:6" x14ac:dyDescent="0.2">
      <c r="A160" s="50" t="s">
        <v>198</v>
      </c>
      <c r="B160" s="51">
        <v>932185</v>
      </c>
      <c r="C160" s="19" t="s">
        <v>782</v>
      </c>
      <c r="D160" s="19" t="s">
        <v>539</v>
      </c>
      <c r="E160" s="19" t="s">
        <v>505</v>
      </c>
      <c r="F160" s="47">
        <v>77255</v>
      </c>
    </row>
    <row r="161" spans="1:6" x14ac:dyDescent="0.2">
      <c r="A161" s="49" t="s">
        <v>401</v>
      </c>
      <c r="B161" s="19">
        <v>925403</v>
      </c>
      <c r="C161" s="19" t="s">
        <v>783</v>
      </c>
      <c r="D161" s="19" t="s">
        <v>501</v>
      </c>
      <c r="E161" s="19" t="s">
        <v>502</v>
      </c>
      <c r="F161" s="47">
        <v>58501</v>
      </c>
    </row>
    <row r="162" spans="1:6" x14ac:dyDescent="0.2">
      <c r="A162" s="50" t="s">
        <v>199</v>
      </c>
      <c r="B162" s="19">
        <v>699797</v>
      </c>
      <c r="C162" s="19" t="s">
        <v>784</v>
      </c>
      <c r="D162" s="19" t="s">
        <v>785</v>
      </c>
      <c r="E162" s="19" t="s">
        <v>502</v>
      </c>
      <c r="F162" s="47">
        <v>58035</v>
      </c>
    </row>
    <row r="163" spans="1:6" x14ac:dyDescent="0.2">
      <c r="A163" s="45" t="s">
        <v>380</v>
      </c>
      <c r="B163" s="19">
        <v>912329</v>
      </c>
      <c r="C163" s="46" t="s">
        <v>786</v>
      </c>
      <c r="D163" s="19" t="s">
        <v>539</v>
      </c>
      <c r="E163" s="19" t="s">
        <v>574</v>
      </c>
      <c r="F163" s="47">
        <v>77024</v>
      </c>
    </row>
    <row r="164" spans="1:6" x14ac:dyDescent="0.2">
      <c r="A164" s="48" t="s">
        <v>116</v>
      </c>
      <c r="B164" s="19">
        <v>667760</v>
      </c>
      <c r="C164" s="19" t="s">
        <v>787</v>
      </c>
      <c r="D164" s="19" t="s">
        <v>788</v>
      </c>
      <c r="E164" s="19" t="s">
        <v>505</v>
      </c>
      <c r="F164" s="47">
        <v>75757</v>
      </c>
    </row>
    <row r="165" spans="1:6" x14ac:dyDescent="0.2">
      <c r="A165" s="45" t="s">
        <v>333</v>
      </c>
      <c r="B165" s="19">
        <v>912538</v>
      </c>
      <c r="C165" s="46" t="s">
        <v>789</v>
      </c>
      <c r="D165" s="46" t="s">
        <v>565</v>
      </c>
      <c r="E165" s="19" t="s">
        <v>595</v>
      </c>
      <c r="F165" s="47">
        <v>59105</v>
      </c>
    </row>
    <row r="166" spans="1:6" x14ac:dyDescent="0.2">
      <c r="A166" s="50" t="s">
        <v>200</v>
      </c>
      <c r="B166" s="19">
        <v>901637</v>
      </c>
      <c r="C166" s="19" t="s">
        <v>790</v>
      </c>
      <c r="D166" s="19" t="s">
        <v>791</v>
      </c>
      <c r="E166" s="19" t="s">
        <v>517</v>
      </c>
      <c r="F166" s="47">
        <v>68366</v>
      </c>
    </row>
    <row r="167" spans="1:6" x14ac:dyDescent="0.2">
      <c r="A167" s="50" t="s">
        <v>117</v>
      </c>
      <c r="B167" s="51">
        <v>715376</v>
      </c>
      <c r="C167" s="19" t="s">
        <v>792</v>
      </c>
      <c r="D167" s="19" t="s">
        <v>568</v>
      </c>
      <c r="E167" s="19" t="s">
        <v>499</v>
      </c>
      <c r="F167" s="47">
        <v>80235</v>
      </c>
    </row>
    <row r="168" spans="1:6" x14ac:dyDescent="0.2">
      <c r="A168" s="48" t="s">
        <v>118</v>
      </c>
      <c r="B168" s="19">
        <v>903644</v>
      </c>
      <c r="C168" s="19" t="s">
        <v>793</v>
      </c>
      <c r="D168" s="19" t="s">
        <v>794</v>
      </c>
      <c r="E168" s="19" t="s">
        <v>505</v>
      </c>
      <c r="F168" s="47">
        <v>78252</v>
      </c>
    </row>
    <row r="169" spans="1:6" x14ac:dyDescent="0.2">
      <c r="A169" s="49" t="s">
        <v>795</v>
      </c>
      <c r="B169" s="19">
        <v>745817</v>
      </c>
      <c r="C169" s="19" t="s">
        <v>796</v>
      </c>
      <c r="D169" s="19" t="s">
        <v>797</v>
      </c>
      <c r="E169" s="19" t="s">
        <v>505</v>
      </c>
      <c r="F169" s="47">
        <v>75001</v>
      </c>
    </row>
    <row r="170" spans="1:6" x14ac:dyDescent="0.2">
      <c r="A170" s="49" t="s">
        <v>452</v>
      </c>
      <c r="B170" s="19">
        <v>736580</v>
      </c>
      <c r="C170" s="19" t="s">
        <v>796</v>
      </c>
      <c r="D170" s="19" t="s">
        <v>797</v>
      </c>
      <c r="E170" s="19" t="s">
        <v>505</v>
      </c>
      <c r="F170" s="47">
        <v>75001</v>
      </c>
    </row>
    <row r="171" spans="1:6" x14ac:dyDescent="0.2">
      <c r="A171" s="49" t="s">
        <v>798</v>
      </c>
      <c r="B171" s="19">
        <v>745817</v>
      </c>
      <c r="C171" s="19" t="s">
        <v>796</v>
      </c>
      <c r="D171" s="19" t="s">
        <v>797</v>
      </c>
      <c r="E171" s="19" t="s">
        <v>505</v>
      </c>
      <c r="F171" s="47">
        <v>75001</v>
      </c>
    </row>
    <row r="172" spans="1:6" x14ac:dyDescent="0.2">
      <c r="A172" s="49" t="s">
        <v>453</v>
      </c>
      <c r="B172" s="19">
        <v>736580</v>
      </c>
      <c r="C172" s="19" t="s">
        <v>796</v>
      </c>
      <c r="D172" s="19" t="s">
        <v>797</v>
      </c>
      <c r="E172" s="19" t="s">
        <v>505</v>
      </c>
      <c r="F172" s="47">
        <v>75001</v>
      </c>
    </row>
    <row r="173" spans="1:6" x14ac:dyDescent="0.2">
      <c r="A173" s="50" t="s">
        <v>120</v>
      </c>
      <c r="B173" s="19">
        <v>721533</v>
      </c>
      <c r="C173" s="19" t="s">
        <v>799</v>
      </c>
      <c r="D173" s="19" t="s">
        <v>568</v>
      </c>
      <c r="E173" s="19" t="s">
        <v>499</v>
      </c>
      <c r="F173" s="47">
        <v>80203</v>
      </c>
    </row>
    <row r="174" spans="1:6" x14ac:dyDescent="0.2">
      <c r="A174" s="45" t="s">
        <v>402</v>
      </c>
      <c r="B174" s="19">
        <v>861876</v>
      </c>
      <c r="C174" s="46" t="s">
        <v>800</v>
      </c>
      <c r="D174" s="19" t="s">
        <v>597</v>
      </c>
      <c r="E174" s="19" t="s">
        <v>502</v>
      </c>
      <c r="F174" s="47" t="s">
        <v>801</v>
      </c>
    </row>
    <row r="175" spans="1:6" x14ac:dyDescent="0.2">
      <c r="A175" s="48" t="s">
        <v>309</v>
      </c>
      <c r="B175" s="19">
        <v>898516</v>
      </c>
      <c r="C175" s="19" t="s">
        <v>802</v>
      </c>
      <c r="D175" s="19" t="s">
        <v>803</v>
      </c>
      <c r="E175" s="19" t="s">
        <v>546</v>
      </c>
      <c r="F175" s="47">
        <v>55343</v>
      </c>
    </row>
    <row r="176" spans="1:6" x14ac:dyDescent="0.2">
      <c r="A176" s="49" t="s">
        <v>454</v>
      </c>
      <c r="B176" s="19">
        <v>830280</v>
      </c>
      <c r="C176" s="19" t="s">
        <v>744</v>
      </c>
      <c r="D176" s="19" t="s">
        <v>501</v>
      </c>
      <c r="E176" s="19" t="s">
        <v>502</v>
      </c>
      <c r="F176" s="47">
        <v>58503</v>
      </c>
    </row>
    <row r="177" spans="1:6" x14ac:dyDescent="0.2">
      <c r="A177" s="48" t="s">
        <v>122</v>
      </c>
      <c r="B177" s="19">
        <v>899221</v>
      </c>
      <c r="C177" s="19" t="s">
        <v>804</v>
      </c>
      <c r="D177" s="19" t="s">
        <v>568</v>
      </c>
      <c r="E177" s="19" t="s">
        <v>499</v>
      </c>
      <c r="F177" s="47">
        <v>80206</v>
      </c>
    </row>
    <row r="178" spans="1:6" x14ac:dyDescent="0.2">
      <c r="A178" s="48" t="s">
        <v>123</v>
      </c>
      <c r="B178" s="19">
        <v>899221</v>
      </c>
      <c r="C178" s="19" t="s">
        <v>804</v>
      </c>
      <c r="D178" s="19" t="s">
        <v>568</v>
      </c>
      <c r="E178" s="19" t="s">
        <v>499</v>
      </c>
      <c r="F178" s="47">
        <v>80206</v>
      </c>
    </row>
    <row r="179" spans="1:6" x14ac:dyDescent="0.2">
      <c r="A179" s="48" t="s">
        <v>125</v>
      </c>
      <c r="B179" s="19">
        <v>899221</v>
      </c>
      <c r="C179" s="19" t="s">
        <v>804</v>
      </c>
      <c r="D179" s="19" t="s">
        <v>568</v>
      </c>
      <c r="E179" s="19" t="s">
        <v>499</v>
      </c>
      <c r="F179" s="47">
        <v>80206</v>
      </c>
    </row>
    <row r="180" spans="1:6" x14ac:dyDescent="0.2">
      <c r="A180" s="50" t="s">
        <v>202</v>
      </c>
      <c r="B180" s="19">
        <v>911750</v>
      </c>
      <c r="C180" s="19" t="s">
        <v>804</v>
      </c>
      <c r="D180" s="19" t="s">
        <v>568</v>
      </c>
      <c r="E180" s="19" t="s">
        <v>499</v>
      </c>
      <c r="F180" s="47">
        <v>80206</v>
      </c>
    </row>
    <row r="181" spans="1:6" x14ac:dyDescent="0.2">
      <c r="A181" s="48" t="s">
        <v>126</v>
      </c>
      <c r="B181" s="19">
        <v>899221</v>
      </c>
      <c r="C181" s="19" t="s">
        <v>804</v>
      </c>
      <c r="D181" s="19" t="s">
        <v>568</v>
      </c>
      <c r="E181" s="19" t="s">
        <v>499</v>
      </c>
      <c r="F181" s="47">
        <v>80206</v>
      </c>
    </row>
    <row r="182" spans="1:6" x14ac:dyDescent="0.2">
      <c r="A182" s="49" t="s">
        <v>318</v>
      </c>
      <c r="B182" s="19">
        <v>816348</v>
      </c>
      <c r="C182" s="19" t="s">
        <v>805</v>
      </c>
      <c r="D182" s="19" t="s">
        <v>806</v>
      </c>
      <c r="E182" s="19" t="s">
        <v>502</v>
      </c>
      <c r="F182" s="47">
        <v>58746</v>
      </c>
    </row>
    <row r="183" spans="1:6" x14ac:dyDescent="0.2">
      <c r="A183" s="49" t="s">
        <v>455</v>
      </c>
      <c r="B183" s="19">
        <v>639697</v>
      </c>
      <c r="C183" s="19" t="s">
        <v>666</v>
      </c>
      <c r="D183" s="19" t="s">
        <v>501</v>
      </c>
      <c r="E183" s="19" t="s">
        <v>502</v>
      </c>
      <c r="F183" s="47">
        <v>58502</v>
      </c>
    </row>
    <row r="184" spans="1:6" x14ac:dyDescent="0.2">
      <c r="A184" s="48" t="s">
        <v>127</v>
      </c>
      <c r="B184" s="19">
        <v>869985</v>
      </c>
      <c r="C184" s="19" t="s">
        <v>807</v>
      </c>
      <c r="D184" s="19" t="s">
        <v>645</v>
      </c>
      <c r="E184" s="19" t="s">
        <v>566</v>
      </c>
      <c r="F184" s="47">
        <v>59270</v>
      </c>
    </row>
    <row r="185" spans="1:6" x14ac:dyDescent="0.2">
      <c r="A185" s="45" t="s">
        <v>423</v>
      </c>
      <c r="B185" s="19">
        <v>718387</v>
      </c>
      <c r="C185" s="46" t="s">
        <v>808</v>
      </c>
      <c r="D185" s="46" t="s">
        <v>504</v>
      </c>
      <c r="E185" s="19" t="s">
        <v>505</v>
      </c>
      <c r="F185" s="47">
        <v>75254</v>
      </c>
    </row>
    <row r="186" spans="1:6" x14ac:dyDescent="0.2">
      <c r="A186" s="45" t="s">
        <v>403</v>
      </c>
      <c r="B186" s="19">
        <v>785660</v>
      </c>
      <c r="C186" s="46" t="s">
        <v>808</v>
      </c>
      <c r="D186" s="46" t="s">
        <v>504</v>
      </c>
      <c r="E186" s="19" t="s">
        <v>505</v>
      </c>
      <c r="F186" s="47">
        <v>75254</v>
      </c>
    </row>
    <row r="187" spans="1:6" x14ac:dyDescent="0.2">
      <c r="A187" s="48" t="s">
        <v>128</v>
      </c>
      <c r="B187" s="19">
        <v>736748</v>
      </c>
      <c r="C187" s="19" t="s">
        <v>809</v>
      </c>
      <c r="D187" s="19" t="s">
        <v>645</v>
      </c>
      <c r="E187" s="19" t="s">
        <v>566</v>
      </c>
      <c r="F187" s="47">
        <v>59270</v>
      </c>
    </row>
    <row r="188" spans="1:6" x14ac:dyDescent="0.2">
      <c r="A188" s="45" t="s">
        <v>405</v>
      </c>
      <c r="B188" s="19">
        <v>722728</v>
      </c>
      <c r="C188" s="46" t="s">
        <v>810</v>
      </c>
      <c r="D188" s="46" t="s">
        <v>811</v>
      </c>
      <c r="E188" s="19" t="s">
        <v>505</v>
      </c>
      <c r="F188" s="47">
        <v>75663</v>
      </c>
    </row>
    <row r="189" spans="1:6" x14ac:dyDescent="0.2">
      <c r="A189" s="48" t="s">
        <v>130</v>
      </c>
      <c r="B189" s="19">
        <v>918962</v>
      </c>
      <c r="C189" s="19" t="s">
        <v>812</v>
      </c>
      <c r="D189" s="19" t="s">
        <v>568</v>
      </c>
      <c r="E189" s="19" t="s">
        <v>499</v>
      </c>
      <c r="F189" s="47">
        <v>80250</v>
      </c>
    </row>
    <row r="190" spans="1:6" x14ac:dyDescent="0.2">
      <c r="A190" s="50" t="s">
        <v>204</v>
      </c>
      <c r="B190" s="51">
        <v>931121</v>
      </c>
      <c r="C190" s="19" t="s">
        <v>813</v>
      </c>
      <c r="D190" s="19" t="s">
        <v>504</v>
      </c>
      <c r="E190" s="19" t="s">
        <v>505</v>
      </c>
      <c r="F190" s="47">
        <v>75201</v>
      </c>
    </row>
    <row r="191" spans="1:6" x14ac:dyDescent="0.2">
      <c r="A191" s="45" t="s">
        <v>382</v>
      </c>
      <c r="B191" s="19">
        <v>925916</v>
      </c>
      <c r="C191" s="46" t="s">
        <v>814</v>
      </c>
      <c r="D191" s="19" t="s">
        <v>815</v>
      </c>
      <c r="E191" s="19" t="s">
        <v>549</v>
      </c>
      <c r="F191" s="47">
        <v>92067</v>
      </c>
    </row>
    <row r="192" spans="1:6" x14ac:dyDescent="0.2">
      <c r="A192" s="49" t="s">
        <v>347</v>
      </c>
      <c r="B192" s="19">
        <v>897323</v>
      </c>
      <c r="C192" s="19" t="s">
        <v>816</v>
      </c>
      <c r="D192" s="19" t="s">
        <v>817</v>
      </c>
      <c r="E192" s="19" t="s">
        <v>549</v>
      </c>
      <c r="F192" s="47">
        <v>95540</v>
      </c>
    </row>
    <row r="193" spans="1:6" x14ac:dyDescent="0.2">
      <c r="A193" s="50" t="s">
        <v>206</v>
      </c>
      <c r="B193" s="19">
        <v>875501</v>
      </c>
      <c r="C193" s="19" t="s">
        <v>818</v>
      </c>
      <c r="D193" s="19" t="s">
        <v>819</v>
      </c>
      <c r="E193" s="19" t="s">
        <v>499</v>
      </c>
      <c r="F193" s="47">
        <v>80234</v>
      </c>
    </row>
    <row r="194" spans="1:6" x14ac:dyDescent="0.2">
      <c r="A194" s="45" t="s">
        <v>820</v>
      </c>
      <c r="B194" s="19">
        <v>899578</v>
      </c>
      <c r="C194" s="46" t="s">
        <v>821</v>
      </c>
      <c r="D194" s="19" t="s">
        <v>822</v>
      </c>
      <c r="E194" s="19" t="s">
        <v>617</v>
      </c>
      <c r="F194" s="47">
        <v>29020</v>
      </c>
    </row>
    <row r="195" spans="1:6" x14ac:dyDescent="0.2">
      <c r="A195" s="45" t="s">
        <v>823</v>
      </c>
      <c r="B195" s="19">
        <v>899578</v>
      </c>
      <c r="C195" s="46" t="s">
        <v>821</v>
      </c>
      <c r="D195" s="19" t="s">
        <v>822</v>
      </c>
      <c r="E195" s="19" t="s">
        <v>617</v>
      </c>
      <c r="F195" s="47">
        <v>29020</v>
      </c>
    </row>
    <row r="196" spans="1:6" x14ac:dyDescent="0.2">
      <c r="A196" s="45" t="s">
        <v>824</v>
      </c>
      <c r="B196" s="19">
        <v>899578</v>
      </c>
      <c r="C196" s="46" t="s">
        <v>821</v>
      </c>
      <c r="D196" s="19" t="s">
        <v>822</v>
      </c>
      <c r="E196" s="19" t="s">
        <v>617</v>
      </c>
      <c r="F196" s="47">
        <v>29020</v>
      </c>
    </row>
    <row r="197" spans="1:6" x14ac:dyDescent="0.2">
      <c r="A197" s="48" t="s">
        <v>131</v>
      </c>
      <c r="B197" s="19">
        <v>791356</v>
      </c>
      <c r="C197" s="19" t="s">
        <v>825</v>
      </c>
      <c r="D197" s="19" t="s">
        <v>826</v>
      </c>
      <c r="E197" s="19" t="s">
        <v>566</v>
      </c>
      <c r="F197" s="47">
        <v>59221</v>
      </c>
    </row>
    <row r="198" spans="1:6" x14ac:dyDescent="0.2">
      <c r="A198" s="48" t="s">
        <v>133</v>
      </c>
      <c r="B198" s="19">
        <v>869986</v>
      </c>
      <c r="C198" s="19" t="s">
        <v>807</v>
      </c>
      <c r="D198" s="19" t="s">
        <v>645</v>
      </c>
      <c r="E198" s="19" t="s">
        <v>566</v>
      </c>
      <c r="F198" s="47">
        <v>59270</v>
      </c>
    </row>
    <row r="199" spans="1:6" x14ac:dyDescent="0.2">
      <c r="A199" s="45" t="s">
        <v>260</v>
      </c>
      <c r="B199" s="19">
        <v>894905</v>
      </c>
      <c r="C199" s="46" t="s">
        <v>827</v>
      </c>
      <c r="D199" s="19" t="s">
        <v>828</v>
      </c>
      <c r="E199" s="19" t="s">
        <v>578</v>
      </c>
      <c r="F199" s="47">
        <v>83856</v>
      </c>
    </row>
    <row r="200" spans="1:6" x14ac:dyDescent="0.2">
      <c r="A200" s="48" t="s">
        <v>134</v>
      </c>
      <c r="B200" s="19">
        <v>929576</v>
      </c>
      <c r="C200" s="19" t="s">
        <v>829</v>
      </c>
      <c r="D200" s="19" t="s">
        <v>830</v>
      </c>
      <c r="E200" s="19" t="s">
        <v>505</v>
      </c>
      <c r="F200" s="47">
        <v>77441</v>
      </c>
    </row>
    <row r="201" spans="1:6" x14ac:dyDescent="0.2">
      <c r="A201" s="49" t="s">
        <v>348</v>
      </c>
      <c r="B201" s="19">
        <v>761068</v>
      </c>
      <c r="C201" s="19" t="s">
        <v>831</v>
      </c>
      <c r="D201" s="19" t="s">
        <v>708</v>
      </c>
      <c r="E201" s="19" t="s">
        <v>549</v>
      </c>
      <c r="F201" s="47">
        <v>94558</v>
      </c>
    </row>
    <row r="202" spans="1:6" x14ac:dyDescent="0.2">
      <c r="A202" s="45" t="s">
        <v>832</v>
      </c>
      <c r="B202" s="19">
        <v>899579</v>
      </c>
      <c r="C202" s="46" t="s">
        <v>833</v>
      </c>
      <c r="D202" s="19" t="s">
        <v>834</v>
      </c>
      <c r="E202" s="19" t="s">
        <v>617</v>
      </c>
      <c r="F202" s="47">
        <v>29598</v>
      </c>
    </row>
    <row r="203" spans="1:6" x14ac:dyDescent="0.2">
      <c r="A203" s="45" t="s">
        <v>835</v>
      </c>
      <c r="B203" s="19">
        <v>899579</v>
      </c>
      <c r="C203" s="46" t="s">
        <v>833</v>
      </c>
      <c r="D203" s="19" t="s">
        <v>834</v>
      </c>
      <c r="E203" s="19" t="s">
        <v>617</v>
      </c>
      <c r="F203" s="47">
        <v>29598</v>
      </c>
    </row>
    <row r="204" spans="1:6" x14ac:dyDescent="0.2">
      <c r="A204" s="45" t="s">
        <v>836</v>
      </c>
      <c r="B204" s="19">
        <v>899579</v>
      </c>
      <c r="C204" s="46" t="s">
        <v>833</v>
      </c>
      <c r="D204" s="19" t="s">
        <v>834</v>
      </c>
      <c r="E204" s="19" t="s">
        <v>617</v>
      </c>
      <c r="F204" s="47">
        <v>29598</v>
      </c>
    </row>
    <row r="205" spans="1:6" x14ac:dyDescent="0.2">
      <c r="A205" s="45" t="s">
        <v>302</v>
      </c>
      <c r="B205" s="19">
        <v>889912</v>
      </c>
      <c r="C205" s="46" t="s">
        <v>837</v>
      </c>
      <c r="D205" s="19" t="s">
        <v>710</v>
      </c>
      <c r="E205" s="19" t="s">
        <v>502</v>
      </c>
      <c r="F205" s="53">
        <v>58601</v>
      </c>
    </row>
    <row r="206" spans="1:6" ht="25.5" x14ac:dyDescent="0.2">
      <c r="A206" s="45" t="s">
        <v>135</v>
      </c>
      <c r="B206" s="19">
        <v>731824</v>
      </c>
      <c r="C206" s="19" t="s">
        <v>559</v>
      </c>
      <c r="D206" s="19" t="s">
        <v>560</v>
      </c>
      <c r="E206" s="19" t="s">
        <v>502</v>
      </c>
      <c r="F206" s="47">
        <v>58849</v>
      </c>
    </row>
    <row r="207" spans="1:6" x14ac:dyDescent="0.2">
      <c r="A207" s="49" t="s">
        <v>287</v>
      </c>
      <c r="B207" s="19">
        <v>710944</v>
      </c>
      <c r="C207" s="19" t="s">
        <v>838</v>
      </c>
      <c r="D207" s="19" t="s">
        <v>568</v>
      </c>
      <c r="E207" s="19" t="s">
        <v>499</v>
      </c>
      <c r="F207" s="47">
        <v>80202</v>
      </c>
    </row>
    <row r="208" spans="1:6" x14ac:dyDescent="0.2">
      <c r="A208" s="48" t="s">
        <v>138</v>
      </c>
      <c r="B208" s="19">
        <v>892475</v>
      </c>
      <c r="C208" s="19" t="s">
        <v>839</v>
      </c>
      <c r="D208" s="19" t="s">
        <v>749</v>
      </c>
      <c r="E208" s="19" t="s">
        <v>52</v>
      </c>
      <c r="F208" s="47">
        <v>54482</v>
      </c>
    </row>
    <row r="209" spans="1:6" x14ac:dyDescent="0.2">
      <c r="A209" s="50" t="s">
        <v>234</v>
      </c>
      <c r="B209" s="19">
        <v>710944</v>
      </c>
      <c r="C209" s="19" t="s">
        <v>840</v>
      </c>
      <c r="D209" s="19" t="s">
        <v>841</v>
      </c>
      <c r="E209" s="19" t="s">
        <v>499</v>
      </c>
      <c r="F209" s="47">
        <v>80226</v>
      </c>
    </row>
    <row r="210" spans="1:6" x14ac:dyDescent="0.2">
      <c r="A210" s="45" t="s">
        <v>262</v>
      </c>
      <c r="B210" s="19">
        <v>891204</v>
      </c>
      <c r="C210" s="46" t="s">
        <v>842</v>
      </c>
      <c r="D210" s="19" t="s">
        <v>843</v>
      </c>
      <c r="E210" s="19" t="s">
        <v>617</v>
      </c>
      <c r="F210" s="47">
        <v>29464</v>
      </c>
    </row>
    <row r="211" spans="1:6" x14ac:dyDescent="0.2">
      <c r="A211" s="55" t="s">
        <v>140</v>
      </c>
      <c r="B211" s="19">
        <v>73678</v>
      </c>
      <c r="C211" s="19" t="s">
        <v>844</v>
      </c>
      <c r="D211" s="19" t="s">
        <v>826</v>
      </c>
      <c r="E211" s="19" t="s">
        <v>566</v>
      </c>
      <c r="F211" s="47">
        <v>59221</v>
      </c>
    </row>
    <row r="212" spans="1:6" x14ac:dyDescent="0.2">
      <c r="A212" s="49" t="s">
        <v>845</v>
      </c>
      <c r="B212" s="19">
        <v>655265</v>
      </c>
      <c r="C212" s="19" t="s">
        <v>846</v>
      </c>
      <c r="D212" s="19" t="s">
        <v>841</v>
      </c>
      <c r="E212" s="19" t="s">
        <v>499</v>
      </c>
      <c r="F212" s="47">
        <v>80227</v>
      </c>
    </row>
    <row r="213" spans="1:6" x14ac:dyDescent="0.2">
      <c r="A213" s="50" t="s">
        <v>212</v>
      </c>
      <c r="B213" s="19">
        <v>875501</v>
      </c>
      <c r="C213" s="19" t="s">
        <v>847</v>
      </c>
      <c r="D213" s="19" t="s">
        <v>848</v>
      </c>
      <c r="E213" s="19" t="s">
        <v>499</v>
      </c>
      <c r="F213" s="47">
        <v>80233</v>
      </c>
    </row>
    <row r="214" spans="1:6" x14ac:dyDescent="0.2">
      <c r="A214" s="50" t="s">
        <v>213</v>
      </c>
      <c r="B214" s="19">
        <v>674676</v>
      </c>
      <c r="C214" s="19" t="s">
        <v>849</v>
      </c>
      <c r="D214" s="19" t="s">
        <v>658</v>
      </c>
      <c r="E214" s="19" t="s">
        <v>546</v>
      </c>
      <c r="F214" s="47">
        <v>55075</v>
      </c>
    </row>
    <row r="215" spans="1:6" x14ac:dyDescent="0.2">
      <c r="A215" s="50" t="s">
        <v>850</v>
      </c>
      <c r="B215" s="51">
        <v>786586</v>
      </c>
      <c r="C215" s="19" t="s">
        <v>851</v>
      </c>
      <c r="D215" s="19" t="s">
        <v>852</v>
      </c>
      <c r="E215" s="19" t="s">
        <v>52</v>
      </c>
      <c r="F215" s="47">
        <v>54448</v>
      </c>
    </row>
    <row r="216" spans="1:6" x14ac:dyDescent="0.2">
      <c r="A216" s="50" t="s">
        <v>853</v>
      </c>
      <c r="B216" s="51">
        <v>786586</v>
      </c>
      <c r="C216" s="19" t="s">
        <v>851</v>
      </c>
      <c r="D216" s="19" t="s">
        <v>852</v>
      </c>
      <c r="E216" s="19" t="s">
        <v>52</v>
      </c>
      <c r="F216" s="47">
        <v>54448</v>
      </c>
    </row>
    <row r="217" spans="1:6" x14ac:dyDescent="0.2">
      <c r="A217" s="50" t="s">
        <v>854</v>
      </c>
      <c r="B217" s="51">
        <v>786586</v>
      </c>
      <c r="C217" s="19" t="s">
        <v>851</v>
      </c>
      <c r="D217" s="19" t="s">
        <v>852</v>
      </c>
      <c r="E217" s="19" t="s">
        <v>52</v>
      </c>
      <c r="F217" s="47">
        <v>54448</v>
      </c>
    </row>
    <row r="218" spans="1:6" x14ac:dyDescent="0.2">
      <c r="A218" s="50" t="s">
        <v>855</v>
      </c>
      <c r="B218" s="51">
        <v>786586</v>
      </c>
      <c r="C218" s="19" t="s">
        <v>851</v>
      </c>
      <c r="D218" s="19" t="s">
        <v>852</v>
      </c>
      <c r="E218" s="19" t="s">
        <v>52</v>
      </c>
      <c r="F218" s="47">
        <v>54448</v>
      </c>
    </row>
    <row r="219" spans="1:6" x14ac:dyDescent="0.2">
      <c r="A219" s="49" t="s">
        <v>456</v>
      </c>
      <c r="B219" s="19">
        <v>929054</v>
      </c>
      <c r="C219" s="19" t="s">
        <v>856</v>
      </c>
      <c r="D219" s="19" t="s">
        <v>504</v>
      </c>
      <c r="E219" s="19" t="s">
        <v>505</v>
      </c>
      <c r="F219" s="47">
        <v>75201</v>
      </c>
    </row>
    <row r="220" spans="1:6" x14ac:dyDescent="0.2">
      <c r="A220" s="49" t="s">
        <v>457</v>
      </c>
      <c r="B220" s="19">
        <v>929054</v>
      </c>
      <c r="C220" s="19" t="s">
        <v>856</v>
      </c>
      <c r="D220" s="19" t="s">
        <v>504</v>
      </c>
      <c r="E220" s="19" t="s">
        <v>505</v>
      </c>
      <c r="F220" s="47">
        <v>75201</v>
      </c>
    </row>
    <row r="221" spans="1:6" x14ac:dyDescent="0.2">
      <c r="A221" s="50" t="s">
        <v>215</v>
      </c>
      <c r="B221" s="51">
        <v>930808</v>
      </c>
      <c r="C221" s="19" t="s">
        <v>857</v>
      </c>
      <c r="D221" s="19" t="s">
        <v>504</v>
      </c>
      <c r="E221" s="19" t="s">
        <v>505</v>
      </c>
      <c r="F221" s="47">
        <v>75205</v>
      </c>
    </row>
    <row r="222" spans="1:6" x14ac:dyDescent="0.2">
      <c r="A222" s="50" t="s">
        <v>216</v>
      </c>
      <c r="B222" s="51">
        <v>930808</v>
      </c>
      <c r="C222" s="19" t="s">
        <v>858</v>
      </c>
      <c r="D222" s="19" t="s">
        <v>859</v>
      </c>
      <c r="E222" s="19" t="s">
        <v>505</v>
      </c>
      <c r="F222" s="47">
        <v>76092</v>
      </c>
    </row>
    <row r="223" spans="1:6" x14ac:dyDescent="0.2">
      <c r="A223" s="45" t="s">
        <v>265</v>
      </c>
      <c r="B223" s="19">
        <v>912224</v>
      </c>
      <c r="C223" s="46" t="s">
        <v>860</v>
      </c>
      <c r="D223" s="19" t="s">
        <v>504</v>
      </c>
      <c r="E223" s="19" t="s">
        <v>505</v>
      </c>
      <c r="F223" s="47">
        <v>75203</v>
      </c>
    </row>
    <row r="224" spans="1:6" x14ac:dyDescent="0.2">
      <c r="A224" s="45" t="s">
        <v>319</v>
      </c>
      <c r="B224" s="19">
        <v>927242</v>
      </c>
      <c r="C224" s="46" t="s">
        <v>861</v>
      </c>
      <c r="D224" s="19" t="s">
        <v>504</v>
      </c>
      <c r="E224" s="19" t="s">
        <v>505</v>
      </c>
      <c r="F224" s="47">
        <v>75225</v>
      </c>
    </row>
    <row r="225" spans="1:6" x14ac:dyDescent="0.2">
      <c r="A225" s="50" t="s">
        <v>210</v>
      </c>
      <c r="B225" s="51">
        <v>930459</v>
      </c>
      <c r="C225" s="19" t="s">
        <v>862</v>
      </c>
      <c r="D225" s="19" t="s">
        <v>504</v>
      </c>
      <c r="E225" s="19" t="s">
        <v>505</v>
      </c>
      <c r="F225" s="47">
        <v>75225</v>
      </c>
    </row>
    <row r="226" spans="1:6" x14ac:dyDescent="0.2">
      <c r="A226" s="48" t="s">
        <v>142</v>
      </c>
      <c r="B226" s="19">
        <v>864942</v>
      </c>
      <c r="C226" s="19" t="s">
        <v>863</v>
      </c>
      <c r="D226" s="19" t="s">
        <v>864</v>
      </c>
      <c r="E226" s="19" t="s">
        <v>502</v>
      </c>
      <c r="F226" s="47">
        <v>58730</v>
      </c>
    </row>
    <row r="227" spans="1:6" x14ac:dyDescent="0.2">
      <c r="A227" s="48" t="s">
        <v>143</v>
      </c>
      <c r="B227" s="19">
        <v>857443</v>
      </c>
      <c r="C227" s="19" t="s">
        <v>865</v>
      </c>
      <c r="D227" s="19" t="s">
        <v>519</v>
      </c>
      <c r="E227" s="19" t="s">
        <v>502</v>
      </c>
      <c r="F227" s="47">
        <v>58801</v>
      </c>
    </row>
    <row r="228" spans="1:6" x14ac:dyDescent="0.2">
      <c r="A228" s="45" t="s">
        <v>320</v>
      </c>
      <c r="B228" s="19">
        <v>925972</v>
      </c>
      <c r="C228" s="46" t="s">
        <v>866</v>
      </c>
      <c r="D228" s="19" t="s">
        <v>597</v>
      </c>
      <c r="E228" s="19" t="s">
        <v>502</v>
      </c>
      <c r="F228" s="47" t="s">
        <v>867</v>
      </c>
    </row>
    <row r="229" spans="1:6" x14ac:dyDescent="0.2">
      <c r="A229" s="48" t="s">
        <v>145</v>
      </c>
      <c r="B229" s="19">
        <v>880768</v>
      </c>
      <c r="C229" s="19" t="s">
        <v>868</v>
      </c>
      <c r="D229" s="19" t="s">
        <v>519</v>
      </c>
      <c r="E229" s="19" t="s">
        <v>502</v>
      </c>
      <c r="F229" s="47">
        <v>58801</v>
      </c>
    </row>
    <row r="230" spans="1:6" x14ac:dyDescent="0.2">
      <c r="A230" s="48" t="s">
        <v>146</v>
      </c>
      <c r="B230" s="19">
        <v>774906</v>
      </c>
      <c r="C230" s="19" t="s">
        <v>869</v>
      </c>
      <c r="D230" s="19" t="s">
        <v>870</v>
      </c>
      <c r="E230" s="19" t="s">
        <v>566</v>
      </c>
      <c r="F230" s="47">
        <v>59714</v>
      </c>
    </row>
    <row r="231" spans="1:6" x14ac:dyDescent="0.2">
      <c r="A231" s="50" t="s">
        <v>871</v>
      </c>
      <c r="B231" s="19">
        <v>655265</v>
      </c>
      <c r="C231" s="19" t="s">
        <v>669</v>
      </c>
      <c r="D231" s="19" t="s">
        <v>670</v>
      </c>
      <c r="E231" s="19" t="s">
        <v>499</v>
      </c>
      <c r="F231" s="47">
        <v>80134</v>
      </c>
    </row>
    <row r="232" spans="1:6" ht="25.5" x14ac:dyDescent="0.2">
      <c r="A232" s="50" t="s">
        <v>219</v>
      </c>
      <c r="B232" s="19">
        <v>839603</v>
      </c>
      <c r="C232" s="19" t="s">
        <v>576</v>
      </c>
      <c r="D232" s="19" t="s">
        <v>577</v>
      </c>
      <c r="E232" s="19" t="s">
        <v>578</v>
      </c>
      <c r="F232" s="47">
        <v>83607</v>
      </c>
    </row>
    <row r="233" spans="1:6" ht="25.5" x14ac:dyDescent="0.2">
      <c r="A233" s="45" t="s">
        <v>335</v>
      </c>
      <c r="B233" s="19">
        <v>655265</v>
      </c>
      <c r="C233" s="19" t="s">
        <v>669</v>
      </c>
      <c r="D233" s="19" t="s">
        <v>670</v>
      </c>
      <c r="E233" s="19" t="s">
        <v>499</v>
      </c>
      <c r="F233" s="47">
        <v>80134</v>
      </c>
    </row>
    <row r="234" spans="1:6" x14ac:dyDescent="0.2">
      <c r="A234" s="50" t="s">
        <v>872</v>
      </c>
      <c r="B234" s="19">
        <v>655265</v>
      </c>
      <c r="C234" s="19" t="s">
        <v>669</v>
      </c>
      <c r="D234" s="19" t="s">
        <v>670</v>
      </c>
      <c r="E234" s="19" t="s">
        <v>499</v>
      </c>
      <c r="F234" s="47">
        <v>80134</v>
      </c>
    </row>
    <row r="235" spans="1:6" x14ac:dyDescent="0.2">
      <c r="A235" s="48" t="s">
        <v>148</v>
      </c>
      <c r="B235" s="19">
        <v>923644</v>
      </c>
      <c r="C235" s="19" t="s">
        <v>873</v>
      </c>
      <c r="D235" s="19" t="s">
        <v>874</v>
      </c>
      <c r="E235" s="19" t="s">
        <v>571</v>
      </c>
      <c r="F235" s="47">
        <v>99218</v>
      </c>
    </row>
    <row r="236" spans="1:6" x14ac:dyDescent="0.2">
      <c r="A236" s="55" t="s">
        <v>149</v>
      </c>
      <c r="B236" s="19">
        <v>925853</v>
      </c>
      <c r="C236" s="19" t="s">
        <v>875</v>
      </c>
      <c r="D236" s="19" t="s">
        <v>560</v>
      </c>
      <c r="E236" s="19" t="s">
        <v>502</v>
      </c>
      <c r="F236" s="47">
        <v>58849</v>
      </c>
    </row>
    <row r="237" spans="1:6" ht="25.5" x14ac:dyDescent="0.2">
      <c r="A237" s="48" t="s">
        <v>150</v>
      </c>
      <c r="B237" s="19">
        <v>736748</v>
      </c>
      <c r="C237" s="19" t="s">
        <v>876</v>
      </c>
      <c r="D237" s="19" t="s">
        <v>877</v>
      </c>
      <c r="E237" s="19" t="s">
        <v>695</v>
      </c>
      <c r="F237" s="47">
        <v>84765</v>
      </c>
    </row>
    <row r="238" spans="1:6" ht="15.75" x14ac:dyDescent="0.2">
      <c r="A238" s="45" t="s">
        <v>289</v>
      </c>
      <c r="B238" s="19">
        <v>894877</v>
      </c>
      <c r="C238" s="46" t="s">
        <v>878</v>
      </c>
      <c r="D238" s="46" t="s">
        <v>660</v>
      </c>
      <c r="E238" s="19" t="s">
        <v>499</v>
      </c>
      <c r="F238" s="47">
        <v>80401</v>
      </c>
    </row>
    <row r="239" spans="1:6" x14ac:dyDescent="0.2">
      <c r="A239" s="50" t="s">
        <v>221</v>
      </c>
      <c r="B239" s="19">
        <v>655265</v>
      </c>
      <c r="C239" s="19" t="s">
        <v>684</v>
      </c>
      <c r="D239" s="19" t="s">
        <v>568</v>
      </c>
      <c r="E239" s="19" t="s">
        <v>499</v>
      </c>
      <c r="F239" s="47">
        <v>80231</v>
      </c>
    </row>
    <row r="240" spans="1:6" ht="25.5" x14ac:dyDescent="0.2">
      <c r="A240" s="45" t="s">
        <v>349</v>
      </c>
      <c r="B240" s="19" t="s">
        <v>765</v>
      </c>
      <c r="C240" s="46" t="s">
        <v>689</v>
      </c>
      <c r="D240" s="19" t="s">
        <v>690</v>
      </c>
      <c r="E240" s="19" t="s">
        <v>546</v>
      </c>
      <c r="F240" s="47">
        <v>55057</v>
      </c>
    </row>
    <row r="241" spans="1:6" x14ac:dyDescent="0.2">
      <c r="A241" s="50" t="s">
        <v>222</v>
      </c>
      <c r="B241" s="19">
        <v>897323</v>
      </c>
      <c r="C241" s="19" t="s">
        <v>689</v>
      </c>
      <c r="D241" s="19" t="s">
        <v>690</v>
      </c>
      <c r="E241" s="19" t="s">
        <v>546</v>
      </c>
      <c r="F241" s="47">
        <v>55057</v>
      </c>
    </row>
    <row r="242" spans="1:6" ht="25.5" x14ac:dyDescent="0.2">
      <c r="A242" s="45" t="s">
        <v>303</v>
      </c>
      <c r="B242" s="19">
        <v>887094</v>
      </c>
      <c r="C242" s="46" t="s">
        <v>879</v>
      </c>
      <c r="D242" s="19" t="s">
        <v>880</v>
      </c>
      <c r="E242" s="19" t="s">
        <v>595</v>
      </c>
      <c r="F242" s="47">
        <v>59803</v>
      </c>
    </row>
    <row r="243" spans="1:6" ht="25.5" x14ac:dyDescent="0.2">
      <c r="A243" s="48" t="s">
        <v>153</v>
      </c>
      <c r="B243" s="19">
        <v>710542</v>
      </c>
      <c r="C243" s="19" t="s">
        <v>881</v>
      </c>
      <c r="D243" s="19" t="s">
        <v>519</v>
      </c>
      <c r="E243" s="19" t="s">
        <v>502</v>
      </c>
      <c r="F243" s="47">
        <v>58802</v>
      </c>
    </row>
    <row r="244" spans="1:6" ht="25.5" x14ac:dyDescent="0.2">
      <c r="A244" s="50" t="s">
        <v>225</v>
      </c>
      <c r="B244" s="19">
        <v>692313</v>
      </c>
      <c r="C244" s="19" t="s">
        <v>740</v>
      </c>
      <c r="D244" s="19" t="s">
        <v>741</v>
      </c>
      <c r="E244" s="19" t="s">
        <v>546</v>
      </c>
      <c r="F244" s="47">
        <v>55313</v>
      </c>
    </row>
    <row r="245" spans="1:6" ht="25.5" x14ac:dyDescent="0.2">
      <c r="A245" s="45" t="s">
        <v>882</v>
      </c>
      <c r="B245" s="19">
        <v>655265</v>
      </c>
      <c r="C245" s="19" t="s">
        <v>684</v>
      </c>
      <c r="D245" s="19" t="s">
        <v>568</v>
      </c>
      <c r="E245" s="19" t="s">
        <v>499</v>
      </c>
      <c r="F245" s="47">
        <v>80231</v>
      </c>
    </row>
    <row r="246" spans="1:6" x14ac:dyDescent="0.2">
      <c r="A246" s="50" t="s">
        <v>226</v>
      </c>
      <c r="B246" s="19">
        <v>655265</v>
      </c>
      <c r="C246" s="19" t="s">
        <v>684</v>
      </c>
      <c r="D246" s="19" t="s">
        <v>568</v>
      </c>
      <c r="E246" s="19" t="s">
        <v>499</v>
      </c>
      <c r="F246" s="47">
        <v>80231</v>
      </c>
    </row>
    <row r="247" spans="1:6" x14ac:dyDescent="0.2">
      <c r="A247" s="50" t="s">
        <v>227</v>
      </c>
      <c r="B247" s="19">
        <v>897323</v>
      </c>
      <c r="C247" s="19" t="s">
        <v>689</v>
      </c>
      <c r="D247" s="19" t="s">
        <v>690</v>
      </c>
      <c r="E247" s="19" t="s">
        <v>546</v>
      </c>
      <c r="F247" s="47">
        <v>55057</v>
      </c>
    </row>
    <row r="248" spans="1:6" ht="25.5" x14ac:dyDescent="0.2">
      <c r="A248" s="45" t="s">
        <v>407</v>
      </c>
      <c r="B248" s="19">
        <v>850060</v>
      </c>
      <c r="C248" s="19" t="s">
        <v>883</v>
      </c>
      <c r="D248" s="19" t="s">
        <v>772</v>
      </c>
      <c r="E248" s="19" t="s">
        <v>587</v>
      </c>
      <c r="F248" s="47">
        <v>74120</v>
      </c>
    </row>
    <row r="249" spans="1:6" x14ac:dyDescent="0.2">
      <c r="A249" s="45" t="s">
        <v>364</v>
      </c>
      <c r="B249" s="19">
        <v>921317</v>
      </c>
      <c r="C249" s="19" t="s">
        <v>781</v>
      </c>
      <c r="D249" s="19" t="s">
        <v>519</v>
      </c>
      <c r="E249" s="19" t="s">
        <v>502</v>
      </c>
      <c r="F249" s="47">
        <v>58802</v>
      </c>
    </row>
    <row r="250" spans="1:6" x14ac:dyDescent="0.2">
      <c r="A250" s="48" t="s">
        <v>155</v>
      </c>
      <c r="B250" s="19">
        <v>640659</v>
      </c>
      <c r="C250" s="19" t="s">
        <v>884</v>
      </c>
      <c r="D250" s="19" t="s">
        <v>885</v>
      </c>
      <c r="E250" s="19" t="s">
        <v>549</v>
      </c>
      <c r="F250" s="47">
        <v>92649</v>
      </c>
    </row>
    <row r="251" spans="1:6" ht="25.5" x14ac:dyDescent="0.2">
      <c r="A251" s="45" t="s">
        <v>409</v>
      </c>
      <c r="B251" s="19">
        <v>850060</v>
      </c>
      <c r="C251" s="19" t="s">
        <v>886</v>
      </c>
      <c r="D251" s="19" t="s">
        <v>586</v>
      </c>
      <c r="E251" s="19" t="s">
        <v>587</v>
      </c>
      <c r="F251" s="47" t="s">
        <v>887</v>
      </c>
    </row>
    <row r="252" spans="1:6" ht="25.5" x14ac:dyDescent="0.2">
      <c r="A252" s="45" t="s">
        <v>304</v>
      </c>
      <c r="B252" s="19">
        <v>889913</v>
      </c>
      <c r="C252" s="46" t="s">
        <v>888</v>
      </c>
      <c r="D252" s="19" t="s">
        <v>889</v>
      </c>
      <c r="E252" s="19" t="s">
        <v>890</v>
      </c>
      <c r="F252" s="53">
        <v>54301</v>
      </c>
    </row>
    <row r="253" spans="1:6" x14ac:dyDescent="0.2">
      <c r="A253" s="50" t="s">
        <v>229</v>
      </c>
      <c r="B253" s="19">
        <v>867303</v>
      </c>
      <c r="C253" s="19" t="s">
        <v>891</v>
      </c>
      <c r="D253" s="19" t="s">
        <v>892</v>
      </c>
      <c r="E253" s="19" t="s">
        <v>546</v>
      </c>
      <c r="F253" s="47">
        <v>56510</v>
      </c>
    </row>
    <row r="254" spans="1:6" x14ac:dyDescent="0.2">
      <c r="A254" s="49" t="s">
        <v>420</v>
      </c>
      <c r="B254" s="19">
        <v>729969</v>
      </c>
      <c r="C254" s="19" t="s">
        <v>893</v>
      </c>
      <c r="D254" s="19" t="s">
        <v>725</v>
      </c>
      <c r="E254" s="19" t="s">
        <v>499</v>
      </c>
      <c r="F254" s="47">
        <v>80129</v>
      </c>
    </row>
    <row r="255" spans="1:6" x14ac:dyDescent="0.2">
      <c r="A255" s="50" t="s">
        <v>894</v>
      </c>
      <c r="B255" s="51">
        <v>885417</v>
      </c>
      <c r="C255" s="19" t="s">
        <v>895</v>
      </c>
      <c r="D255" s="19" t="s">
        <v>670</v>
      </c>
      <c r="E255" s="19" t="s">
        <v>499</v>
      </c>
      <c r="F255" s="47">
        <v>80134</v>
      </c>
    </row>
    <row r="256" spans="1:6" x14ac:dyDescent="0.2">
      <c r="A256" s="49" t="s">
        <v>458</v>
      </c>
      <c r="B256" s="19">
        <v>780868</v>
      </c>
      <c r="C256" s="19" t="s">
        <v>896</v>
      </c>
      <c r="D256" s="19" t="s">
        <v>897</v>
      </c>
      <c r="E256" s="19" t="s">
        <v>898</v>
      </c>
      <c r="F256" s="47">
        <v>45176</v>
      </c>
    </row>
    <row r="257" spans="1:6" ht="15.75" x14ac:dyDescent="0.2">
      <c r="A257" s="45" t="s">
        <v>384</v>
      </c>
      <c r="B257" s="19">
        <v>925916</v>
      </c>
      <c r="C257" s="46" t="s">
        <v>899</v>
      </c>
      <c r="D257" s="19" t="s">
        <v>519</v>
      </c>
      <c r="E257" s="19" t="s">
        <v>502</v>
      </c>
      <c r="F257" s="47">
        <v>58801</v>
      </c>
    </row>
    <row r="258" spans="1:6" x14ac:dyDescent="0.2">
      <c r="A258" s="45" t="s">
        <v>411</v>
      </c>
      <c r="B258" s="19">
        <v>861876</v>
      </c>
      <c r="C258" s="46" t="s">
        <v>900</v>
      </c>
      <c r="D258" s="19" t="s">
        <v>597</v>
      </c>
      <c r="E258" s="19" t="s">
        <v>502</v>
      </c>
      <c r="F258" s="47">
        <v>58502</v>
      </c>
    </row>
    <row r="259" spans="1:6" x14ac:dyDescent="0.2">
      <c r="A259" s="49" t="s">
        <v>353</v>
      </c>
      <c r="B259" s="19">
        <v>630422</v>
      </c>
      <c r="C259" s="19" t="s">
        <v>901</v>
      </c>
      <c r="D259" s="19" t="s">
        <v>525</v>
      </c>
      <c r="E259" s="19" t="s">
        <v>502</v>
      </c>
      <c r="F259" s="47">
        <v>58702</v>
      </c>
    </row>
    <row r="260" spans="1:6" x14ac:dyDescent="0.2">
      <c r="A260" s="48" t="s">
        <v>157</v>
      </c>
      <c r="B260" s="19">
        <v>688064</v>
      </c>
      <c r="C260" s="19" t="s">
        <v>902</v>
      </c>
      <c r="D260" s="19" t="s">
        <v>903</v>
      </c>
      <c r="E260" s="19" t="s">
        <v>502</v>
      </c>
      <c r="F260" s="47">
        <v>58075</v>
      </c>
    </row>
    <row r="261" spans="1:6" x14ac:dyDescent="0.2">
      <c r="A261" s="48" t="s">
        <v>343</v>
      </c>
      <c r="B261" s="19">
        <v>793267</v>
      </c>
      <c r="C261" s="19" t="s">
        <v>904</v>
      </c>
      <c r="D261" s="19" t="s">
        <v>760</v>
      </c>
      <c r="E261" s="19" t="s">
        <v>499</v>
      </c>
      <c r="F261" s="47">
        <v>80112</v>
      </c>
    </row>
    <row r="262" spans="1:6" x14ac:dyDescent="0.2">
      <c r="A262" s="50" t="s">
        <v>231</v>
      </c>
      <c r="B262" s="51">
        <v>940459</v>
      </c>
      <c r="C262" s="19" t="s">
        <v>857</v>
      </c>
      <c r="D262" s="19" t="s">
        <v>504</v>
      </c>
      <c r="E262" s="19" t="s">
        <v>505</v>
      </c>
      <c r="F262" s="47">
        <v>75205</v>
      </c>
    </row>
    <row r="263" spans="1:6" x14ac:dyDescent="0.2">
      <c r="A263" s="48" t="s">
        <v>905</v>
      </c>
      <c r="B263" s="19">
        <v>817986</v>
      </c>
      <c r="C263" s="19" t="s">
        <v>906</v>
      </c>
      <c r="D263" s="19" t="s">
        <v>710</v>
      </c>
      <c r="E263" s="19" t="s">
        <v>502</v>
      </c>
      <c r="F263" s="47">
        <v>58601</v>
      </c>
    </row>
    <row r="264" spans="1:6" x14ac:dyDescent="0.2">
      <c r="A264" s="48" t="s">
        <v>907</v>
      </c>
      <c r="B264" s="19">
        <v>817986</v>
      </c>
      <c r="C264" s="19" t="s">
        <v>906</v>
      </c>
      <c r="D264" s="19" t="s">
        <v>710</v>
      </c>
      <c r="E264" s="19" t="s">
        <v>502</v>
      </c>
      <c r="F264" s="47">
        <v>58601</v>
      </c>
    </row>
    <row r="265" spans="1:6" x14ac:dyDescent="0.2">
      <c r="A265" s="48" t="s">
        <v>908</v>
      </c>
      <c r="B265" s="19">
        <v>817986</v>
      </c>
      <c r="C265" s="19" t="s">
        <v>906</v>
      </c>
      <c r="D265" s="19" t="s">
        <v>710</v>
      </c>
      <c r="E265" s="19" t="s">
        <v>502</v>
      </c>
      <c r="F265" s="47">
        <v>58601</v>
      </c>
    </row>
    <row r="266" spans="1:6" x14ac:dyDescent="0.2">
      <c r="A266" s="49" t="s">
        <v>321</v>
      </c>
      <c r="B266" s="19">
        <v>639850</v>
      </c>
      <c r="C266" s="19" t="s">
        <v>909</v>
      </c>
      <c r="D266" s="19" t="s">
        <v>601</v>
      </c>
      <c r="E266" s="19" t="s">
        <v>910</v>
      </c>
      <c r="F266" s="47">
        <v>87401</v>
      </c>
    </row>
    <row r="267" spans="1:6" x14ac:dyDescent="0.2">
      <c r="A267" s="56" t="s">
        <v>297</v>
      </c>
      <c r="B267" s="19">
        <v>842609</v>
      </c>
      <c r="C267" s="46" t="s">
        <v>911</v>
      </c>
      <c r="D267" s="46" t="s">
        <v>539</v>
      </c>
      <c r="E267" s="19" t="s">
        <v>505</v>
      </c>
      <c r="F267" s="47">
        <v>77002</v>
      </c>
    </row>
    <row r="268" spans="1:6" x14ac:dyDescent="0.2">
      <c r="A268" s="49" t="s">
        <v>424</v>
      </c>
      <c r="B268" s="19">
        <v>842609</v>
      </c>
      <c r="C268" s="19" t="s">
        <v>912</v>
      </c>
      <c r="D268" s="19" t="s">
        <v>539</v>
      </c>
      <c r="E268" s="19" t="s">
        <v>505</v>
      </c>
      <c r="F268" s="47">
        <v>77002</v>
      </c>
    </row>
    <row r="269" spans="1:6" x14ac:dyDescent="0.2">
      <c r="A269" s="45" t="s">
        <v>459</v>
      </c>
      <c r="B269" s="19">
        <v>830559</v>
      </c>
      <c r="C269" s="19" t="s">
        <v>913</v>
      </c>
      <c r="D269" s="19" t="s">
        <v>914</v>
      </c>
      <c r="E269" s="19" t="s">
        <v>915</v>
      </c>
      <c r="F269" s="47">
        <v>20120</v>
      </c>
    </row>
    <row r="270" spans="1:6" x14ac:dyDescent="0.2">
      <c r="A270" s="49" t="s">
        <v>421</v>
      </c>
      <c r="B270" s="19">
        <v>853458</v>
      </c>
      <c r="C270" s="19" t="s">
        <v>916</v>
      </c>
      <c r="D270" s="19" t="s">
        <v>504</v>
      </c>
      <c r="E270" s="19" t="s">
        <v>505</v>
      </c>
      <c r="F270" s="47">
        <v>75219</v>
      </c>
    </row>
    <row r="271" spans="1:6" x14ac:dyDescent="0.2">
      <c r="A271" s="45" t="s">
        <v>291</v>
      </c>
      <c r="B271" s="19">
        <v>890907</v>
      </c>
      <c r="C271" s="46" t="s">
        <v>647</v>
      </c>
      <c r="D271" s="46" t="s">
        <v>519</v>
      </c>
      <c r="E271" s="19" t="s">
        <v>502</v>
      </c>
      <c r="F271" s="47">
        <v>58802</v>
      </c>
    </row>
    <row r="272" spans="1:6" x14ac:dyDescent="0.2">
      <c r="B272"/>
      <c r="C272"/>
      <c r="D272"/>
      <c r="E272"/>
    </row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</sheetData>
  <conditionalFormatting sqref="A1:A1048576">
    <cfRule type="duplicateValues" dxfId="12" priority="1"/>
  </conditionalFormatting>
  <conditionalFormatting sqref="A2:A271">
    <cfRule type="duplicateValues" dxfId="11" priority="2"/>
  </conditionalFormatting>
  <pageMargins left="0.25" right="0.25" top="0.75" bottom="0.75" header="0.3" footer="0.3"/>
  <pageSetup scale="81" fitToHeight="0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2e7c47-79f2-401e-becf-d82cd66c04ee" xsi:nil="true"/>
    <lcf76f155ced4ddcb4097134ff3c332f xmlns="b0559690-de1b-433d-af6b-2ee2a4c985de">
      <Terms xmlns="http://schemas.microsoft.com/office/infopath/2007/PartnerControls"/>
    </lcf76f155ced4ddcb4097134ff3c332f>
    <ResourceType xmlns="b0559690-de1b-433d-af6b-2ee2a4c985de">
      <Value>PDF</Value>
    </ResourceType>
    <CreatedDate xmlns="b0559690-de1b-433d-af6b-2ee2a4c985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8273D2A54124490BA2388362152CC" ma:contentTypeVersion="29" ma:contentTypeDescription="Create a new document." ma:contentTypeScope="" ma:versionID="ff3cb129603a26b4a31d68c82b4340e7">
  <xsd:schema xmlns:xsd="http://www.w3.org/2001/XMLSchema" xmlns:xs="http://www.w3.org/2001/XMLSchema" xmlns:p="http://schemas.microsoft.com/office/2006/metadata/properties" xmlns:ns2="b0559690-de1b-433d-af6b-2ee2a4c985de" xmlns:ns3="f82e7c47-79f2-401e-becf-d82cd66c04ee" targetNamespace="http://schemas.microsoft.com/office/2006/metadata/properties" ma:root="true" ma:fieldsID="483c799ff01158df155c109d4bdcfbbf" ns2:_="" ns3:_="">
    <xsd:import namespace="b0559690-de1b-433d-af6b-2ee2a4c985de"/>
    <xsd:import namespace="f82e7c47-79f2-401e-becf-d82cd66c04ee"/>
    <xsd:element name="properties">
      <xsd:complexType>
        <xsd:sequence>
          <xsd:element name="documentManagement">
            <xsd:complexType>
              <xsd:all>
                <xsd:element ref="ns2:Created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Resourc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59690-de1b-433d-af6b-2ee2a4c985de" elementFormDefault="qualified">
    <xsd:import namespace="http://schemas.microsoft.com/office/2006/documentManagement/types"/>
    <xsd:import namespace="http://schemas.microsoft.com/office/infopath/2007/PartnerControls"/>
    <xsd:element name="CreatedDate" ma:index="8" nillable="true" ma:displayName="Upload Date" ma:format="DateOnly" ma:internalName="CreatedDat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3f2f7c6-f864-44cc-a523-ffeb56edf1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ourceType" ma:index="27" nillable="true" ma:displayName="Resource Type" ma:default="PDF" ma:format="Dropdown" ma:internalName="Resource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yperlink"/>
                    <xsd:enumeration value="PDF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e7c47-79f2-401e-becf-d82cd66c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f03e8fd-e506-4bf5-8f55-59f39d5ee7c5}" ma:internalName="TaxCatchAll" ma:showField="CatchAllData" ma:web="f82e7c47-79f2-401e-becf-d82cd66c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11E3A9D-B1D8-44A5-9343-74D92651AAA1}">
  <ds:schemaRefs>
    <ds:schemaRef ds:uri="http://schemas.microsoft.com/office/2006/metadata/properties"/>
    <ds:schemaRef ds:uri="http://schemas.microsoft.com/office/infopath/2007/PartnerControls"/>
    <ds:schemaRef ds:uri="f82e7c47-79f2-401e-becf-d82cd66c04ee"/>
    <ds:schemaRef ds:uri="b0559690-de1b-433d-af6b-2ee2a4c985de"/>
  </ds:schemaRefs>
</ds:datastoreItem>
</file>

<file path=customXml/itemProps2.xml><?xml version="1.0" encoding="utf-8"?>
<ds:datastoreItem xmlns:ds="http://schemas.openxmlformats.org/officeDocument/2006/customXml" ds:itemID="{F48A2818-3F57-467B-8712-23A864720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59690-de1b-433d-af6b-2ee2a4c985de"/>
    <ds:schemaRef ds:uri="f82e7c47-79f2-401e-becf-d82cd66c0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474271-BE92-414D-8DE8-DE40505D14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314B580-9603-48E7-9378-F5C2C8B934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TractList</vt:lpstr>
      <vt:lpstr>Combined</vt:lpstr>
      <vt:lpstr>Addresses</vt:lpstr>
      <vt:lpstr>Addresses!Print_Area</vt:lpstr>
      <vt:lpstr>Combined!Print_Area</vt:lpstr>
      <vt:lpstr>TractList!Print_Area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Oxford</dc:creator>
  <cp:lastModifiedBy>Russell Oxford</cp:lastModifiedBy>
  <cp:lastPrinted>2025-11-26T02:15:38Z</cp:lastPrinted>
  <dcterms:created xsi:type="dcterms:W3CDTF">2025-11-20T17:22:52Z</dcterms:created>
  <dcterms:modified xsi:type="dcterms:W3CDTF">2025-12-04T01:26:44Z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0x0101009E68273D2A54124490BA2388362152CC</vt:lpwstr>
  </property>
  <property fmtid="{D5CDD505-2E9C-101B-9397-08002B2CF9AE}" pid="3" name="MediaServiceImageTags">
    <vt:lpwstr/>
  </property>
</Properties>
</file>